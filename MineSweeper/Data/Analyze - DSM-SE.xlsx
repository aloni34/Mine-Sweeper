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on\PycharmProjects\pythonProject\MineSweeper\Data\"/>
    </mc:Choice>
  </mc:AlternateContent>
  <xr:revisionPtr revIDLastSave="0" documentId="13_ncr:1_{1D96CA64-BBAA-4737-9EE0-7A18522944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87" i="1" l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286" i="1"/>
  <c r="I286" i="1"/>
  <c r="I280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56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27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184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27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01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90" i="1"/>
  <c r="I91" i="1"/>
  <c r="I92" i="1"/>
  <c r="I93" i="1"/>
  <c r="I94" i="1"/>
  <c r="I95" i="1"/>
  <c r="G90" i="1"/>
  <c r="G91" i="1"/>
  <c r="G92" i="1"/>
  <c r="G93" i="1"/>
  <c r="G94" i="1"/>
  <c r="G95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72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49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8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</calcChain>
</file>

<file path=xl/sharedStrings.xml><?xml version="1.0" encoding="utf-8"?>
<sst xmlns="http://schemas.openxmlformats.org/spreadsheetml/2006/main" count="74" uniqueCount="18">
  <si>
    <t>Amount of Cells</t>
  </si>
  <si>
    <t>Size Of Board</t>
  </si>
  <si>
    <t>30 x 30</t>
  </si>
  <si>
    <t>Percentage of Bombs in the Board (PB)</t>
  </si>
  <si>
    <t xml:space="preserve">wins </t>
  </si>
  <si>
    <t>loss</t>
  </si>
  <si>
    <t>bombs</t>
  </si>
  <si>
    <t>Test Number</t>
  </si>
  <si>
    <t>10 x 10</t>
  </si>
  <si>
    <t>15 x 15</t>
  </si>
  <si>
    <t>20 x 20</t>
  </si>
  <si>
    <t>25 x 25</t>
  </si>
  <si>
    <t>35 x 35</t>
  </si>
  <si>
    <t>40 x 40</t>
  </si>
  <si>
    <t>45 x 45</t>
  </si>
  <si>
    <t>50 x 50</t>
  </si>
  <si>
    <t>Current Algorithm:</t>
  </si>
  <si>
    <t>Deterministic Statistical Marker - Start Edge (DSM-SE)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</si>
</sst>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6100"/>
      <name val="Calibri"/>
      <family val="2"/>
      <scheme val="minor"/>
    </font>
    <font>
      <b/>
      <sz val="16"/>
      <color rgb="FF9C0006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1"/>
      <color rgb="FF7F7F7F"/>
      <name val="Calibri"/>
      <family val="2"/>
      <scheme val="minor"/>
    </font>
    <font>
      <b/>
      <sz val="1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5" fillId="0" borderId="0" applyNumberFormat="0" applyFill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11">
    <xf numFmtId="0" fontId="0" fillId="0" borderId="0" xfId="0"/>
    <xf numFmtId="0" fontId="6" fillId="8" borderId="0" xfId="8" applyFont="1" applyAlignment="1">
      <alignment horizontal="center" vertical="center"/>
    </xf>
    <xf numFmtId="0" fontId="6" fillId="7" borderId="0" xfId="7" applyFont="1" applyAlignment="1">
      <alignment horizontal="center" vertical="center"/>
    </xf>
    <xf numFmtId="0" fontId="0" fillId="0" borderId="0" xfId="0" applyAlignment="1">
      <alignment horizontal="center"/>
    </xf>
    <xf numFmtId="0" fontId="6" fillId="5" borderId="0" xfId="5" applyFont="1" applyAlignment="1">
      <alignment horizontal="center" vertical="center"/>
    </xf>
    <xf numFmtId="0" fontId="7" fillId="2" borderId="1" xfId="1" applyFont="1" applyBorder="1" applyAlignment="1">
      <alignment horizontal="center" vertical="center"/>
    </xf>
    <xf numFmtId="0" fontId="8" fillId="3" borderId="1" xfId="2" applyFont="1" applyBorder="1" applyAlignment="1">
      <alignment horizontal="center" vertical="center"/>
    </xf>
    <xf numFmtId="0" fontId="9" fillId="4" borderId="1" xfId="3" applyFont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11" fillId="4" borderId="1" xfId="3" applyFont="1" applyAlignment="1">
      <alignment horizontal="center" vertical="center"/>
    </xf>
    <xf numFmtId="0" fontId="6" fillId="6" borderId="0" xfId="6" applyFont="1" applyAlignment="1">
      <alignment horizontal="center" vertical="center"/>
    </xf>
  </cellXfs>
  <cellStyles count="9">
    <cellStyle name="20% - Accent4" xfId="6" builtinId="42"/>
    <cellStyle name="20% - Accent5" xfId="8" builtinId="46"/>
    <cellStyle name="60% - Accent2" xfId="5" builtinId="36"/>
    <cellStyle name="60% - Accent4" xfId="7" builtinId="44"/>
    <cellStyle name="Bad" xfId="2" builtinId="27"/>
    <cellStyle name="Check Cell" xfId="3" builtinId="23"/>
    <cellStyle name="Explanatory Text" xfId="4" builtinId="53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PB</a:t>
            </a:r>
            <a:r>
              <a:rPr lang="en-US" baseline="0"/>
              <a:t> to Wins Percentage</a:t>
            </a:r>
            <a:endParaRPr lang="en-US"/>
          </a:p>
        </c:rich>
      </c:tx>
      <c:layout>
        <c:manualLayout>
          <c:xMode val="edge"/>
          <c:yMode val="edge"/>
          <c:x val="0.39933414811698165"/>
          <c:y val="2.7777694346518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10X10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Sheet1!$G$8:$G$43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7.0000000000000009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14.000000000000002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28.000000000000004</c:v>
                </c:pt>
                <c:pt idx="28">
                  <c:v>28.999999999999996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Sheet1!$H$8:$H$43</c:f>
              <c:numCache>
                <c:formatCode>General</c:formatCode>
                <c:ptCount val="36"/>
                <c:pt idx="0">
                  <c:v>100</c:v>
                </c:pt>
                <c:pt idx="1">
                  <c:v>100</c:v>
                </c:pt>
                <c:pt idx="2">
                  <c:v>99.95</c:v>
                </c:pt>
                <c:pt idx="3">
                  <c:v>99.74</c:v>
                </c:pt>
                <c:pt idx="4">
                  <c:v>99.32</c:v>
                </c:pt>
                <c:pt idx="5">
                  <c:v>98.6</c:v>
                </c:pt>
                <c:pt idx="6">
                  <c:v>97.24</c:v>
                </c:pt>
                <c:pt idx="7">
                  <c:v>95.29</c:v>
                </c:pt>
                <c:pt idx="8">
                  <c:v>92.46</c:v>
                </c:pt>
                <c:pt idx="9">
                  <c:v>88.61</c:v>
                </c:pt>
                <c:pt idx="10">
                  <c:v>83.52</c:v>
                </c:pt>
                <c:pt idx="11">
                  <c:v>77.08</c:v>
                </c:pt>
                <c:pt idx="12">
                  <c:v>69.89</c:v>
                </c:pt>
                <c:pt idx="13">
                  <c:v>61.11</c:v>
                </c:pt>
                <c:pt idx="14">
                  <c:v>52.5</c:v>
                </c:pt>
                <c:pt idx="15">
                  <c:v>43.35</c:v>
                </c:pt>
                <c:pt idx="16">
                  <c:v>34.25</c:v>
                </c:pt>
                <c:pt idx="17">
                  <c:v>26.47</c:v>
                </c:pt>
                <c:pt idx="18">
                  <c:v>19.55</c:v>
                </c:pt>
                <c:pt idx="19">
                  <c:v>13.82</c:v>
                </c:pt>
                <c:pt idx="20">
                  <c:v>9.69</c:v>
                </c:pt>
                <c:pt idx="21">
                  <c:v>6.37</c:v>
                </c:pt>
                <c:pt idx="22">
                  <c:v>4</c:v>
                </c:pt>
                <c:pt idx="23">
                  <c:v>2.4700000000000002</c:v>
                </c:pt>
                <c:pt idx="24">
                  <c:v>1.46</c:v>
                </c:pt>
                <c:pt idx="25">
                  <c:v>0.95</c:v>
                </c:pt>
                <c:pt idx="26">
                  <c:v>0.52</c:v>
                </c:pt>
                <c:pt idx="27">
                  <c:v>0.3</c:v>
                </c:pt>
                <c:pt idx="28">
                  <c:v>0.16</c:v>
                </c:pt>
                <c:pt idx="29">
                  <c:v>0.1</c:v>
                </c:pt>
                <c:pt idx="30">
                  <c:v>0.05</c:v>
                </c:pt>
                <c:pt idx="31">
                  <c:v>0.02</c:v>
                </c:pt>
                <c:pt idx="32">
                  <c:v>0.01</c:v>
                </c:pt>
                <c:pt idx="33">
                  <c:v>0</c:v>
                </c:pt>
                <c:pt idx="34">
                  <c:v>0.01</c:v>
                </c:pt>
                <c:pt idx="3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9A6-489B-AF91-CD22C9FD0422}"/>
            </c:ext>
          </c:extLst>
        </c:ser>
        <c:ser>
          <c:idx val="1"/>
          <c:order val="1"/>
          <c:tx>
            <c:v>15X15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Sheet1!$G$49:$G$66</c:f>
              <c:numCache>
                <c:formatCode>General</c:formatCode>
                <c:ptCount val="18"/>
                <c:pt idx="0">
                  <c:v>4.4444444444444446</c:v>
                </c:pt>
                <c:pt idx="1">
                  <c:v>6.666666666666667</c:v>
                </c:pt>
                <c:pt idx="2">
                  <c:v>8.8888888888888893</c:v>
                </c:pt>
                <c:pt idx="3">
                  <c:v>11.111111111111111</c:v>
                </c:pt>
                <c:pt idx="4">
                  <c:v>13.333333333333334</c:v>
                </c:pt>
                <c:pt idx="5">
                  <c:v>15.555555555555555</c:v>
                </c:pt>
                <c:pt idx="6">
                  <c:v>17.777777777777779</c:v>
                </c:pt>
                <c:pt idx="7">
                  <c:v>20</c:v>
                </c:pt>
                <c:pt idx="8">
                  <c:v>22.222222222222221</c:v>
                </c:pt>
                <c:pt idx="9">
                  <c:v>24.444444444444443</c:v>
                </c:pt>
                <c:pt idx="10">
                  <c:v>26.666666666666668</c:v>
                </c:pt>
                <c:pt idx="11">
                  <c:v>28.888888888888886</c:v>
                </c:pt>
                <c:pt idx="12">
                  <c:v>31.111111111111111</c:v>
                </c:pt>
                <c:pt idx="13">
                  <c:v>33.333333333333329</c:v>
                </c:pt>
                <c:pt idx="14">
                  <c:v>35.555555555555557</c:v>
                </c:pt>
                <c:pt idx="15">
                  <c:v>37.777777777777779</c:v>
                </c:pt>
                <c:pt idx="16">
                  <c:v>40</c:v>
                </c:pt>
                <c:pt idx="17">
                  <c:v>42.222222222222221</c:v>
                </c:pt>
              </c:numCache>
            </c:numRef>
          </c:xVal>
          <c:yVal>
            <c:numRef>
              <c:f>Sheet1!$H$49:$H$67</c:f>
              <c:numCache>
                <c:formatCode>General</c:formatCode>
                <c:ptCount val="19"/>
                <c:pt idx="0">
                  <c:v>99.26</c:v>
                </c:pt>
                <c:pt idx="1">
                  <c:v>97.11</c:v>
                </c:pt>
                <c:pt idx="2">
                  <c:v>91.59</c:v>
                </c:pt>
                <c:pt idx="3">
                  <c:v>80.55</c:v>
                </c:pt>
                <c:pt idx="4">
                  <c:v>63.46</c:v>
                </c:pt>
                <c:pt idx="5">
                  <c:v>40.340000000000003</c:v>
                </c:pt>
                <c:pt idx="6">
                  <c:v>18.690000000000001</c:v>
                </c:pt>
                <c:pt idx="7">
                  <c:v>5.87</c:v>
                </c:pt>
                <c:pt idx="8">
                  <c:v>1.21</c:v>
                </c:pt>
                <c:pt idx="9">
                  <c:v>0.13</c:v>
                </c:pt>
                <c:pt idx="10">
                  <c:v>0.01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9A6-489B-AF91-CD22C9FD0422}"/>
            </c:ext>
          </c:extLst>
        </c:ser>
        <c:ser>
          <c:idx val="2"/>
          <c:order val="2"/>
          <c:tx>
            <c:v>20X20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Sheet1!$G$72:$G$95</c:f>
              <c:numCache>
                <c:formatCode>General</c:formatCode>
                <c:ptCount val="24"/>
                <c:pt idx="0">
                  <c:v>2.5</c:v>
                </c:pt>
                <c:pt idx="1">
                  <c:v>3.75</c:v>
                </c:pt>
                <c:pt idx="2">
                  <c:v>5</c:v>
                </c:pt>
                <c:pt idx="3">
                  <c:v>6.25</c:v>
                </c:pt>
                <c:pt idx="4">
                  <c:v>7.5</c:v>
                </c:pt>
                <c:pt idx="5">
                  <c:v>8.75</c:v>
                </c:pt>
                <c:pt idx="6">
                  <c:v>10</c:v>
                </c:pt>
                <c:pt idx="7">
                  <c:v>11.25</c:v>
                </c:pt>
                <c:pt idx="8">
                  <c:v>12.5</c:v>
                </c:pt>
                <c:pt idx="9">
                  <c:v>13.750000000000002</c:v>
                </c:pt>
                <c:pt idx="10">
                  <c:v>15</c:v>
                </c:pt>
                <c:pt idx="11">
                  <c:v>16.25</c:v>
                </c:pt>
                <c:pt idx="12">
                  <c:v>17.5</c:v>
                </c:pt>
                <c:pt idx="13">
                  <c:v>18.75</c:v>
                </c:pt>
                <c:pt idx="14">
                  <c:v>20</c:v>
                </c:pt>
                <c:pt idx="15">
                  <c:v>21.25</c:v>
                </c:pt>
                <c:pt idx="16">
                  <c:v>22.5</c:v>
                </c:pt>
                <c:pt idx="17">
                  <c:v>23.75</c:v>
                </c:pt>
                <c:pt idx="18">
                  <c:v>25</c:v>
                </c:pt>
                <c:pt idx="19">
                  <c:v>26.25</c:v>
                </c:pt>
                <c:pt idx="20">
                  <c:v>27.500000000000004</c:v>
                </c:pt>
                <c:pt idx="21">
                  <c:v>28.749999999999996</c:v>
                </c:pt>
                <c:pt idx="22">
                  <c:v>30</c:v>
                </c:pt>
                <c:pt idx="23">
                  <c:v>31.25</c:v>
                </c:pt>
              </c:numCache>
            </c:numRef>
          </c:xVal>
          <c:yVal>
            <c:numRef>
              <c:f>Sheet1!$H$72:$H$95</c:f>
              <c:numCache>
                <c:formatCode>General</c:formatCode>
                <c:ptCount val="24"/>
                <c:pt idx="0">
                  <c:v>99.89</c:v>
                </c:pt>
                <c:pt idx="1">
                  <c:v>99.54</c:v>
                </c:pt>
                <c:pt idx="2">
                  <c:v>98.81</c:v>
                </c:pt>
                <c:pt idx="3">
                  <c:v>97.36</c:v>
                </c:pt>
                <c:pt idx="4">
                  <c:v>94.87</c:v>
                </c:pt>
                <c:pt idx="5">
                  <c:v>91.08</c:v>
                </c:pt>
                <c:pt idx="6">
                  <c:v>85.33</c:v>
                </c:pt>
                <c:pt idx="7">
                  <c:v>77.569999999999993</c:v>
                </c:pt>
                <c:pt idx="8">
                  <c:v>67.489999999999995</c:v>
                </c:pt>
                <c:pt idx="9">
                  <c:v>55.42</c:v>
                </c:pt>
                <c:pt idx="10">
                  <c:v>41.66</c:v>
                </c:pt>
                <c:pt idx="11">
                  <c:v>27.49</c:v>
                </c:pt>
                <c:pt idx="12">
                  <c:v>15.74</c:v>
                </c:pt>
                <c:pt idx="13">
                  <c:v>7.2</c:v>
                </c:pt>
                <c:pt idx="14">
                  <c:v>2.4500000000000002</c:v>
                </c:pt>
                <c:pt idx="15">
                  <c:v>0.73</c:v>
                </c:pt>
                <c:pt idx="16">
                  <c:v>0.19</c:v>
                </c:pt>
                <c:pt idx="17">
                  <c:v>0.03</c:v>
                </c:pt>
                <c:pt idx="18">
                  <c:v>0.01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9A6-489B-AF91-CD22C9FD0422}"/>
            </c:ext>
          </c:extLst>
        </c:ser>
        <c:ser>
          <c:idx val="3"/>
          <c:order val="3"/>
          <c:tx>
            <c:v>25X25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Sheet1!$G$101:$G$121</c:f>
              <c:numCache>
                <c:formatCode>General</c:formatCode>
                <c:ptCount val="21"/>
                <c:pt idx="0">
                  <c:v>7.1999999999999993</c:v>
                </c:pt>
                <c:pt idx="1">
                  <c:v>8</c:v>
                </c:pt>
                <c:pt idx="2">
                  <c:v>8.7999999999999989</c:v>
                </c:pt>
                <c:pt idx="3">
                  <c:v>9.6</c:v>
                </c:pt>
                <c:pt idx="4">
                  <c:v>10.4</c:v>
                </c:pt>
                <c:pt idx="5">
                  <c:v>11.200000000000001</c:v>
                </c:pt>
                <c:pt idx="6">
                  <c:v>12</c:v>
                </c:pt>
                <c:pt idx="7">
                  <c:v>12.8</c:v>
                </c:pt>
                <c:pt idx="8">
                  <c:v>13.600000000000001</c:v>
                </c:pt>
                <c:pt idx="9">
                  <c:v>14.399999999999999</c:v>
                </c:pt>
                <c:pt idx="10">
                  <c:v>15.2</c:v>
                </c:pt>
                <c:pt idx="11">
                  <c:v>16</c:v>
                </c:pt>
                <c:pt idx="12">
                  <c:v>16.8</c:v>
                </c:pt>
                <c:pt idx="13">
                  <c:v>17.599999999999998</c:v>
                </c:pt>
                <c:pt idx="14">
                  <c:v>18.399999999999999</c:v>
                </c:pt>
                <c:pt idx="15">
                  <c:v>19.2</c:v>
                </c:pt>
                <c:pt idx="16">
                  <c:v>20</c:v>
                </c:pt>
                <c:pt idx="17">
                  <c:v>20.8</c:v>
                </c:pt>
                <c:pt idx="18">
                  <c:v>21.6</c:v>
                </c:pt>
                <c:pt idx="19">
                  <c:v>22.400000000000002</c:v>
                </c:pt>
                <c:pt idx="20">
                  <c:v>23.200000000000003</c:v>
                </c:pt>
              </c:numCache>
            </c:numRef>
          </c:xVal>
          <c:yVal>
            <c:numRef>
              <c:f>Sheet1!$H$101:$H$121</c:f>
              <c:numCache>
                <c:formatCode>General</c:formatCode>
                <c:ptCount val="21"/>
                <c:pt idx="0">
                  <c:v>95.2</c:v>
                </c:pt>
                <c:pt idx="1">
                  <c:v>92.5</c:v>
                </c:pt>
                <c:pt idx="2">
                  <c:v>89.52</c:v>
                </c:pt>
                <c:pt idx="3">
                  <c:v>86.14</c:v>
                </c:pt>
                <c:pt idx="4">
                  <c:v>81.92</c:v>
                </c:pt>
                <c:pt idx="5">
                  <c:v>76.81</c:v>
                </c:pt>
                <c:pt idx="6">
                  <c:v>70.260000000000005</c:v>
                </c:pt>
                <c:pt idx="7">
                  <c:v>62.15</c:v>
                </c:pt>
                <c:pt idx="8">
                  <c:v>54.37</c:v>
                </c:pt>
                <c:pt idx="9">
                  <c:v>44.79</c:v>
                </c:pt>
                <c:pt idx="10">
                  <c:v>35.479999999999997</c:v>
                </c:pt>
                <c:pt idx="11">
                  <c:v>26.12</c:v>
                </c:pt>
                <c:pt idx="12">
                  <c:v>17.71</c:v>
                </c:pt>
                <c:pt idx="13">
                  <c:v>10.93</c:v>
                </c:pt>
                <c:pt idx="14">
                  <c:v>6.13</c:v>
                </c:pt>
                <c:pt idx="15">
                  <c:v>2.84</c:v>
                </c:pt>
                <c:pt idx="16">
                  <c:v>1.43</c:v>
                </c:pt>
                <c:pt idx="17">
                  <c:v>0.42</c:v>
                </c:pt>
                <c:pt idx="18">
                  <c:v>0.15</c:v>
                </c:pt>
                <c:pt idx="19">
                  <c:v>0.04</c:v>
                </c:pt>
                <c:pt idx="20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9A6-489B-AF91-CD22C9FD0422}"/>
            </c:ext>
          </c:extLst>
        </c:ser>
        <c:ser>
          <c:idx val="4"/>
          <c:order val="4"/>
          <c:tx>
            <c:v>30X30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Sheet1!$G$127:$G$178</c:f>
              <c:numCache>
                <c:formatCode>General</c:formatCode>
                <c:ptCount val="52"/>
                <c:pt idx="0">
                  <c:v>2.5555555555555558</c:v>
                </c:pt>
                <c:pt idx="1">
                  <c:v>3.1111111111111112</c:v>
                </c:pt>
                <c:pt idx="2">
                  <c:v>3.6666666666666665</c:v>
                </c:pt>
                <c:pt idx="3">
                  <c:v>4.2222222222222223</c:v>
                </c:pt>
                <c:pt idx="4">
                  <c:v>4.7777777777777777</c:v>
                </c:pt>
                <c:pt idx="5">
                  <c:v>5.3333333333333339</c:v>
                </c:pt>
                <c:pt idx="6">
                  <c:v>5.8888888888888884</c:v>
                </c:pt>
                <c:pt idx="7">
                  <c:v>6.4444444444444446</c:v>
                </c:pt>
                <c:pt idx="8">
                  <c:v>7.0000000000000009</c:v>
                </c:pt>
                <c:pt idx="9">
                  <c:v>7.5555555555555554</c:v>
                </c:pt>
                <c:pt idx="10">
                  <c:v>8.1111111111111107</c:v>
                </c:pt>
                <c:pt idx="11">
                  <c:v>8.6666666666666679</c:v>
                </c:pt>
                <c:pt idx="12">
                  <c:v>9.2222222222222214</c:v>
                </c:pt>
                <c:pt idx="13">
                  <c:v>9.7777777777777786</c:v>
                </c:pt>
                <c:pt idx="14">
                  <c:v>10.333333333333334</c:v>
                </c:pt>
                <c:pt idx="15">
                  <c:v>10.888888888888888</c:v>
                </c:pt>
                <c:pt idx="16">
                  <c:v>11.444444444444445</c:v>
                </c:pt>
                <c:pt idx="17">
                  <c:v>12</c:v>
                </c:pt>
                <c:pt idx="18">
                  <c:v>12.555555555555555</c:v>
                </c:pt>
                <c:pt idx="19">
                  <c:v>13.111111111111112</c:v>
                </c:pt>
                <c:pt idx="20">
                  <c:v>13.666666666666666</c:v>
                </c:pt>
                <c:pt idx="21">
                  <c:v>14.222222222222221</c:v>
                </c:pt>
                <c:pt idx="22">
                  <c:v>14.777777777777779</c:v>
                </c:pt>
                <c:pt idx="23">
                  <c:v>15.333333333333332</c:v>
                </c:pt>
                <c:pt idx="24">
                  <c:v>15.888888888888889</c:v>
                </c:pt>
                <c:pt idx="25">
                  <c:v>16.444444444444446</c:v>
                </c:pt>
                <c:pt idx="26">
                  <c:v>17</c:v>
                </c:pt>
                <c:pt idx="27">
                  <c:v>17.555555555555554</c:v>
                </c:pt>
                <c:pt idx="28">
                  <c:v>18.111111111111111</c:v>
                </c:pt>
                <c:pt idx="29">
                  <c:v>18.666666666666668</c:v>
                </c:pt>
                <c:pt idx="30">
                  <c:v>19.222222222222221</c:v>
                </c:pt>
                <c:pt idx="31">
                  <c:v>19.777777777777779</c:v>
                </c:pt>
                <c:pt idx="32">
                  <c:v>20.333333333333332</c:v>
                </c:pt>
                <c:pt idx="33">
                  <c:v>20.888888888888889</c:v>
                </c:pt>
                <c:pt idx="34">
                  <c:v>21.444444444444443</c:v>
                </c:pt>
                <c:pt idx="35">
                  <c:v>22</c:v>
                </c:pt>
                <c:pt idx="36">
                  <c:v>22.555555555555557</c:v>
                </c:pt>
                <c:pt idx="37">
                  <c:v>23.111111111111111</c:v>
                </c:pt>
                <c:pt idx="38">
                  <c:v>23.666666666666668</c:v>
                </c:pt>
                <c:pt idx="39">
                  <c:v>24.222222222222221</c:v>
                </c:pt>
                <c:pt idx="40">
                  <c:v>24.777777777777779</c:v>
                </c:pt>
                <c:pt idx="41">
                  <c:v>25.333333333333336</c:v>
                </c:pt>
                <c:pt idx="42">
                  <c:v>25.888888888888889</c:v>
                </c:pt>
                <c:pt idx="43">
                  <c:v>26.444444444444443</c:v>
                </c:pt>
                <c:pt idx="44">
                  <c:v>27</c:v>
                </c:pt>
                <c:pt idx="45">
                  <c:v>27.555555555555557</c:v>
                </c:pt>
                <c:pt idx="46">
                  <c:v>28.111111111111107</c:v>
                </c:pt>
                <c:pt idx="47">
                  <c:v>28.666666666666668</c:v>
                </c:pt>
                <c:pt idx="48">
                  <c:v>29.222222222222221</c:v>
                </c:pt>
                <c:pt idx="49">
                  <c:v>29.777777777777775</c:v>
                </c:pt>
                <c:pt idx="50">
                  <c:v>30.333333333333336</c:v>
                </c:pt>
                <c:pt idx="51">
                  <c:v>30.888888888888889</c:v>
                </c:pt>
              </c:numCache>
            </c:numRef>
          </c:xVal>
          <c:yVal>
            <c:numRef>
              <c:f>Sheet1!$H$127:$H$178</c:f>
              <c:numCache>
                <c:formatCode>General</c:formatCode>
                <c:ptCount val="52"/>
                <c:pt idx="0">
                  <c:v>99.83</c:v>
                </c:pt>
                <c:pt idx="1">
                  <c:v>99.67</c:v>
                </c:pt>
                <c:pt idx="2">
                  <c:v>99.63</c:v>
                </c:pt>
                <c:pt idx="3">
                  <c:v>99.03</c:v>
                </c:pt>
                <c:pt idx="4">
                  <c:v>98.7</c:v>
                </c:pt>
                <c:pt idx="5">
                  <c:v>98.13</c:v>
                </c:pt>
                <c:pt idx="6">
                  <c:v>97.57</c:v>
                </c:pt>
                <c:pt idx="7">
                  <c:v>96.07</c:v>
                </c:pt>
                <c:pt idx="8">
                  <c:v>94.97</c:v>
                </c:pt>
                <c:pt idx="9">
                  <c:v>93.57</c:v>
                </c:pt>
                <c:pt idx="10">
                  <c:v>92.53</c:v>
                </c:pt>
                <c:pt idx="11">
                  <c:v>90.17</c:v>
                </c:pt>
                <c:pt idx="12">
                  <c:v>87.03</c:v>
                </c:pt>
                <c:pt idx="13">
                  <c:v>84.23</c:v>
                </c:pt>
                <c:pt idx="14">
                  <c:v>80.900000000000006</c:v>
                </c:pt>
                <c:pt idx="15">
                  <c:v>76.87</c:v>
                </c:pt>
                <c:pt idx="16">
                  <c:v>74.099999999999994</c:v>
                </c:pt>
                <c:pt idx="17">
                  <c:v>68.17</c:v>
                </c:pt>
                <c:pt idx="18">
                  <c:v>63.27</c:v>
                </c:pt>
                <c:pt idx="19">
                  <c:v>57.33</c:v>
                </c:pt>
                <c:pt idx="20">
                  <c:v>49.23</c:v>
                </c:pt>
                <c:pt idx="21">
                  <c:v>44.8</c:v>
                </c:pt>
                <c:pt idx="22">
                  <c:v>37.47</c:v>
                </c:pt>
                <c:pt idx="23">
                  <c:v>32.03</c:v>
                </c:pt>
                <c:pt idx="24">
                  <c:v>25.27</c:v>
                </c:pt>
                <c:pt idx="25">
                  <c:v>17.97</c:v>
                </c:pt>
                <c:pt idx="26">
                  <c:v>12.83</c:v>
                </c:pt>
                <c:pt idx="27">
                  <c:v>8.73</c:v>
                </c:pt>
                <c:pt idx="28">
                  <c:v>5.83</c:v>
                </c:pt>
                <c:pt idx="29">
                  <c:v>3.93</c:v>
                </c:pt>
                <c:pt idx="30">
                  <c:v>1.5</c:v>
                </c:pt>
                <c:pt idx="31">
                  <c:v>1.07</c:v>
                </c:pt>
                <c:pt idx="32">
                  <c:v>0.37</c:v>
                </c:pt>
                <c:pt idx="33">
                  <c:v>0.13</c:v>
                </c:pt>
                <c:pt idx="34">
                  <c:v>0.1</c:v>
                </c:pt>
                <c:pt idx="35">
                  <c:v>0.03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9A6-489B-AF91-CD22C9FD0422}"/>
            </c:ext>
          </c:extLst>
        </c:ser>
        <c:ser>
          <c:idx val="5"/>
          <c:order val="5"/>
          <c:tx>
            <c:v>35X35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Sheet1!$G$184:$G$221</c:f>
              <c:numCache>
                <c:formatCode>General</c:formatCode>
                <c:ptCount val="38"/>
                <c:pt idx="0">
                  <c:v>2.8571428571428572</c:v>
                </c:pt>
                <c:pt idx="1">
                  <c:v>3.6734693877551026</c:v>
                </c:pt>
                <c:pt idx="2">
                  <c:v>4.4897959183673466</c:v>
                </c:pt>
                <c:pt idx="3">
                  <c:v>5.3061224489795915</c:v>
                </c:pt>
                <c:pt idx="4">
                  <c:v>6.1224489795918364</c:v>
                </c:pt>
                <c:pt idx="5">
                  <c:v>6.9387755102040813</c:v>
                </c:pt>
                <c:pt idx="6">
                  <c:v>7.7551020408163263</c:v>
                </c:pt>
                <c:pt idx="7">
                  <c:v>8.5714285714285712</c:v>
                </c:pt>
                <c:pt idx="8">
                  <c:v>9.387755102040817</c:v>
                </c:pt>
                <c:pt idx="9">
                  <c:v>10.204081632653061</c:v>
                </c:pt>
                <c:pt idx="10">
                  <c:v>11.020408163265307</c:v>
                </c:pt>
                <c:pt idx="11">
                  <c:v>11.836734693877551</c:v>
                </c:pt>
                <c:pt idx="12">
                  <c:v>12.653061224489795</c:v>
                </c:pt>
                <c:pt idx="13">
                  <c:v>13.469387755102041</c:v>
                </c:pt>
                <c:pt idx="14">
                  <c:v>14.285714285714285</c:v>
                </c:pt>
                <c:pt idx="15">
                  <c:v>15.102040816326531</c:v>
                </c:pt>
                <c:pt idx="16">
                  <c:v>15.918367346938775</c:v>
                </c:pt>
                <c:pt idx="17">
                  <c:v>16.73469387755102</c:v>
                </c:pt>
                <c:pt idx="18">
                  <c:v>17.551020408163264</c:v>
                </c:pt>
                <c:pt idx="19">
                  <c:v>18.367346938775512</c:v>
                </c:pt>
                <c:pt idx="20">
                  <c:v>19.183673469387756</c:v>
                </c:pt>
                <c:pt idx="21">
                  <c:v>20</c:v>
                </c:pt>
                <c:pt idx="22">
                  <c:v>20.816326530612244</c:v>
                </c:pt>
                <c:pt idx="23">
                  <c:v>21.632653061224492</c:v>
                </c:pt>
                <c:pt idx="24">
                  <c:v>22.448979591836736</c:v>
                </c:pt>
                <c:pt idx="25">
                  <c:v>23.26530612244898</c:v>
                </c:pt>
                <c:pt idx="26">
                  <c:v>24.081632653061224</c:v>
                </c:pt>
                <c:pt idx="27">
                  <c:v>24.897959183673468</c:v>
                </c:pt>
                <c:pt idx="28">
                  <c:v>25.714285714285712</c:v>
                </c:pt>
                <c:pt idx="29">
                  <c:v>26.530612244897959</c:v>
                </c:pt>
                <c:pt idx="30">
                  <c:v>27.346938775510203</c:v>
                </c:pt>
                <c:pt idx="31">
                  <c:v>28.163265306122447</c:v>
                </c:pt>
                <c:pt idx="32">
                  <c:v>28.979591836734691</c:v>
                </c:pt>
                <c:pt idx="33">
                  <c:v>29.795918367346943</c:v>
                </c:pt>
                <c:pt idx="34">
                  <c:v>30.612244897959183</c:v>
                </c:pt>
                <c:pt idx="35">
                  <c:v>31.428571428571427</c:v>
                </c:pt>
                <c:pt idx="36">
                  <c:v>32.244897959183675</c:v>
                </c:pt>
                <c:pt idx="37">
                  <c:v>33.061224489795919</c:v>
                </c:pt>
              </c:numCache>
            </c:numRef>
          </c:xVal>
          <c:yVal>
            <c:numRef>
              <c:f>Sheet1!$H$184:$H$221</c:f>
              <c:numCache>
                <c:formatCode>General</c:formatCode>
                <c:ptCount val="38"/>
                <c:pt idx="0">
                  <c:v>99.67</c:v>
                </c:pt>
                <c:pt idx="1">
                  <c:v>99.6</c:v>
                </c:pt>
                <c:pt idx="2">
                  <c:v>98.8</c:v>
                </c:pt>
                <c:pt idx="3">
                  <c:v>98.2</c:v>
                </c:pt>
                <c:pt idx="4">
                  <c:v>96.97</c:v>
                </c:pt>
                <c:pt idx="5">
                  <c:v>95.3</c:v>
                </c:pt>
                <c:pt idx="6">
                  <c:v>92.7</c:v>
                </c:pt>
                <c:pt idx="7">
                  <c:v>90.1</c:v>
                </c:pt>
                <c:pt idx="8">
                  <c:v>85.07</c:v>
                </c:pt>
                <c:pt idx="9">
                  <c:v>81</c:v>
                </c:pt>
                <c:pt idx="10">
                  <c:v>73.77</c:v>
                </c:pt>
                <c:pt idx="11">
                  <c:v>67.599999999999994</c:v>
                </c:pt>
                <c:pt idx="12">
                  <c:v>60.3</c:v>
                </c:pt>
                <c:pt idx="13">
                  <c:v>50.93</c:v>
                </c:pt>
                <c:pt idx="14">
                  <c:v>38.270000000000003</c:v>
                </c:pt>
                <c:pt idx="15">
                  <c:v>29.57</c:v>
                </c:pt>
                <c:pt idx="16">
                  <c:v>21.43</c:v>
                </c:pt>
                <c:pt idx="17">
                  <c:v>16.13</c:v>
                </c:pt>
                <c:pt idx="18">
                  <c:v>6.9</c:v>
                </c:pt>
                <c:pt idx="19">
                  <c:v>4</c:v>
                </c:pt>
                <c:pt idx="20">
                  <c:v>1.27</c:v>
                </c:pt>
                <c:pt idx="21">
                  <c:v>0.2</c:v>
                </c:pt>
                <c:pt idx="22">
                  <c:v>0.1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9A6-489B-AF91-CD22C9FD0422}"/>
            </c:ext>
          </c:extLst>
        </c:ser>
        <c:ser>
          <c:idx val="6"/>
          <c:order val="6"/>
          <c:tx>
            <c:v>40X40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Sheet1!$G$227:$G$250</c:f>
              <c:numCache>
                <c:formatCode>General</c:formatCode>
                <c:ptCount val="24"/>
                <c:pt idx="0">
                  <c:v>4.6875</c:v>
                </c:pt>
                <c:pt idx="1">
                  <c:v>5.3125</c:v>
                </c:pt>
                <c:pt idx="2">
                  <c:v>5.9375</c:v>
                </c:pt>
                <c:pt idx="3">
                  <c:v>6.5625</c:v>
                </c:pt>
                <c:pt idx="4">
                  <c:v>7.1874999999999991</c:v>
                </c:pt>
                <c:pt idx="5">
                  <c:v>7.8125</c:v>
                </c:pt>
                <c:pt idx="6">
                  <c:v>8.4375</c:v>
                </c:pt>
                <c:pt idx="7">
                  <c:v>9.0625</c:v>
                </c:pt>
                <c:pt idx="8">
                  <c:v>9.6875</c:v>
                </c:pt>
                <c:pt idx="9">
                  <c:v>10.3125</c:v>
                </c:pt>
                <c:pt idx="10">
                  <c:v>10.9375</c:v>
                </c:pt>
                <c:pt idx="11">
                  <c:v>11.5625</c:v>
                </c:pt>
                <c:pt idx="12">
                  <c:v>12.1875</c:v>
                </c:pt>
                <c:pt idx="13">
                  <c:v>12.812499999999998</c:v>
                </c:pt>
                <c:pt idx="14">
                  <c:v>13.4375</c:v>
                </c:pt>
                <c:pt idx="15">
                  <c:v>14.0625</c:v>
                </c:pt>
                <c:pt idx="16">
                  <c:v>14.6875</c:v>
                </c:pt>
                <c:pt idx="17">
                  <c:v>15.312500000000002</c:v>
                </c:pt>
                <c:pt idx="18">
                  <c:v>15.937499999999998</c:v>
                </c:pt>
                <c:pt idx="19">
                  <c:v>16.5625</c:v>
                </c:pt>
                <c:pt idx="20">
                  <c:v>17.1875</c:v>
                </c:pt>
                <c:pt idx="21">
                  <c:v>17.8125</c:v>
                </c:pt>
                <c:pt idx="22">
                  <c:v>18.4375</c:v>
                </c:pt>
                <c:pt idx="23">
                  <c:v>19.0625</c:v>
                </c:pt>
              </c:numCache>
            </c:numRef>
          </c:xVal>
          <c:yVal>
            <c:numRef>
              <c:f>Sheet1!$H$227:$H$250</c:f>
              <c:numCache>
                <c:formatCode>General</c:formatCode>
                <c:ptCount val="24"/>
                <c:pt idx="0">
                  <c:v>99</c:v>
                </c:pt>
                <c:pt idx="1">
                  <c:v>98.1</c:v>
                </c:pt>
                <c:pt idx="2">
                  <c:v>97</c:v>
                </c:pt>
                <c:pt idx="3">
                  <c:v>95.97</c:v>
                </c:pt>
                <c:pt idx="4">
                  <c:v>94.33</c:v>
                </c:pt>
                <c:pt idx="5">
                  <c:v>92.07</c:v>
                </c:pt>
                <c:pt idx="6">
                  <c:v>90.2</c:v>
                </c:pt>
                <c:pt idx="7">
                  <c:v>87.4</c:v>
                </c:pt>
                <c:pt idx="8">
                  <c:v>83.7</c:v>
                </c:pt>
                <c:pt idx="9">
                  <c:v>80.17</c:v>
                </c:pt>
                <c:pt idx="10">
                  <c:v>74.63</c:v>
                </c:pt>
                <c:pt idx="11">
                  <c:v>69</c:v>
                </c:pt>
                <c:pt idx="12">
                  <c:v>61.57</c:v>
                </c:pt>
                <c:pt idx="13">
                  <c:v>59</c:v>
                </c:pt>
                <c:pt idx="14">
                  <c:v>52.77</c:v>
                </c:pt>
                <c:pt idx="15">
                  <c:v>44.93</c:v>
                </c:pt>
                <c:pt idx="16">
                  <c:v>36.17</c:v>
                </c:pt>
                <c:pt idx="17">
                  <c:v>29.8</c:v>
                </c:pt>
                <c:pt idx="18">
                  <c:v>20.47</c:v>
                </c:pt>
                <c:pt idx="19">
                  <c:v>15.13</c:v>
                </c:pt>
                <c:pt idx="20">
                  <c:v>9.17</c:v>
                </c:pt>
                <c:pt idx="21">
                  <c:v>4.2699999999999996</c:v>
                </c:pt>
                <c:pt idx="22">
                  <c:v>2.57</c:v>
                </c:pt>
                <c:pt idx="23">
                  <c:v>0.87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9A6-489B-AF91-CD22C9FD0422}"/>
            </c:ext>
          </c:extLst>
        </c:ser>
        <c:ser>
          <c:idx val="7"/>
          <c:order val="7"/>
          <c:tx>
            <c:v>45X45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Sheet1!$G$256:$G$280</c:f>
              <c:numCache>
                <c:formatCode>General</c:formatCode>
                <c:ptCount val="25"/>
                <c:pt idx="0">
                  <c:v>5.9259259259259265</c:v>
                </c:pt>
                <c:pt idx="1">
                  <c:v>6.4197530864197532</c:v>
                </c:pt>
                <c:pt idx="2">
                  <c:v>6.9135802469135799</c:v>
                </c:pt>
                <c:pt idx="3">
                  <c:v>7.4074074074074066</c:v>
                </c:pt>
                <c:pt idx="4">
                  <c:v>7.9012345679012341</c:v>
                </c:pt>
                <c:pt idx="5">
                  <c:v>8.3950617283950617</c:v>
                </c:pt>
                <c:pt idx="6">
                  <c:v>8.8888888888888893</c:v>
                </c:pt>
                <c:pt idx="7">
                  <c:v>9.3827160493827169</c:v>
                </c:pt>
                <c:pt idx="8">
                  <c:v>9.8765432098765427</c:v>
                </c:pt>
                <c:pt idx="9">
                  <c:v>10.37037037037037</c:v>
                </c:pt>
                <c:pt idx="10">
                  <c:v>10.864197530864198</c:v>
                </c:pt>
                <c:pt idx="11">
                  <c:v>11.358024691358025</c:v>
                </c:pt>
                <c:pt idx="12">
                  <c:v>11.851851851851853</c:v>
                </c:pt>
                <c:pt idx="13">
                  <c:v>12.345679012345679</c:v>
                </c:pt>
                <c:pt idx="14">
                  <c:v>12.839506172839506</c:v>
                </c:pt>
                <c:pt idx="15">
                  <c:v>13.333333333333334</c:v>
                </c:pt>
                <c:pt idx="16">
                  <c:v>13.82716049382716</c:v>
                </c:pt>
                <c:pt idx="17">
                  <c:v>14.320987654320987</c:v>
                </c:pt>
                <c:pt idx="18">
                  <c:v>14.814814814814813</c:v>
                </c:pt>
                <c:pt idx="19">
                  <c:v>15.308641975308642</c:v>
                </c:pt>
                <c:pt idx="20">
                  <c:v>15.802469135802468</c:v>
                </c:pt>
                <c:pt idx="21">
                  <c:v>16.296296296296298</c:v>
                </c:pt>
                <c:pt idx="22">
                  <c:v>16.790123456790123</c:v>
                </c:pt>
                <c:pt idx="23">
                  <c:v>17.283950617283949</c:v>
                </c:pt>
                <c:pt idx="24">
                  <c:v>17.777777777777779</c:v>
                </c:pt>
              </c:numCache>
            </c:numRef>
          </c:xVal>
          <c:yVal>
            <c:numRef>
              <c:f>Sheet1!$H$256:$H$280</c:f>
              <c:numCache>
                <c:formatCode>General</c:formatCode>
                <c:ptCount val="25"/>
                <c:pt idx="0">
                  <c:v>96.87</c:v>
                </c:pt>
                <c:pt idx="1">
                  <c:v>96.13</c:v>
                </c:pt>
                <c:pt idx="2">
                  <c:v>95</c:v>
                </c:pt>
                <c:pt idx="3">
                  <c:v>93.33</c:v>
                </c:pt>
                <c:pt idx="4">
                  <c:v>91.13</c:v>
                </c:pt>
                <c:pt idx="5">
                  <c:v>90.5</c:v>
                </c:pt>
                <c:pt idx="6">
                  <c:v>87.73</c:v>
                </c:pt>
                <c:pt idx="7">
                  <c:v>84.93</c:v>
                </c:pt>
                <c:pt idx="8">
                  <c:v>84.57</c:v>
                </c:pt>
                <c:pt idx="9">
                  <c:v>80.599999999999994</c:v>
                </c:pt>
                <c:pt idx="10">
                  <c:v>76.97</c:v>
                </c:pt>
                <c:pt idx="11">
                  <c:v>72.900000000000006</c:v>
                </c:pt>
                <c:pt idx="12">
                  <c:v>67.37</c:v>
                </c:pt>
                <c:pt idx="13">
                  <c:v>63.07</c:v>
                </c:pt>
                <c:pt idx="14">
                  <c:v>56.77</c:v>
                </c:pt>
                <c:pt idx="15">
                  <c:v>51.83</c:v>
                </c:pt>
                <c:pt idx="16">
                  <c:v>44.93</c:v>
                </c:pt>
                <c:pt idx="17">
                  <c:v>37.93</c:v>
                </c:pt>
                <c:pt idx="18">
                  <c:v>31.1</c:v>
                </c:pt>
                <c:pt idx="19">
                  <c:v>25.83</c:v>
                </c:pt>
                <c:pt idx="20">
                  <c:v>18.13</c:v>
                </c:pt>
                <c:pt idx="21">
                  <c:v>14.63</c:v>
                </c:pt>
                <c:pt idx="22">
                  <c:v>9.9700000000000006</c:v>
                </c:pt>
                <c:pt idx="23">
                  <c:v>6.57</c:v>
                </c:pt>
                <c:pt idx="24">
                  <c:v>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9A6-489B-AF91-CD22C9FD0422}"/>
            </c:ext>
          </c:extLst>
        </c:ser>
        <c:ser>
          <c:idx val="8"/>
          <c:order val="8"/>
          <c:tx>
            <c:v>50X50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Sheet1!$G$286:$G$320</c:f>
              <c:numCache>
                <c:formatCode>General</c:formatCode>
                <c:ptCount val="35"/>
                <c:pt idx="0">
                  <c:v>7.0000000000000009</c:v>
                </c:pt>
                <c:pt idx="1">
                  <c:v>7.3999999999999995</c:v>
                </c:pt>
                <c:pt idx="2">
                  <c:v>7.8</c:v>
                </c:pt>
                <c:pt idx="3">
                  <c:v>8.2000000000000011</c:v>
                </c:pt>
                <c:pt idx="4">
                  <c:v>8.6</c:v>
                </c:pt>
                <c:pt idx="5">
                  <c:v>9</c:v>
                </c:pt>
                <c:pt idx="6">
                  <c:v>9.4</c:v>
                </c:pt>
                <c:pt idx="7">
                  <c:v>9.8000000000000007</c:v>
                </c:pt>
                <c:pt idx="8">
                  <c:v>10.199999999999999</c:v>
                </c:pt>
                <c:pt idx="9">
                  <c:v>10.6</c:v>
                </c:pt>
                <c:pt idx="10">
                  <c:v>11</c:v>
                </c:pt>
                <c:pt idx="11">
                  <c:v>11.4</c:v>
                </c:pt>
                <c:pt idx="12">
                  <c:v>11.799999999999999</c:v>
                </c:pt>
                <c:pt idx="13">
                  <c:v>12.2</c:v>
                </c:pt>
                <c:pt idx="14">
                  <c:v>12.6</c:v>
                </c:pt>
                <c:pt idx="15">
                  <c:v>13</c:v>
                </c:pt>
                <c:pt idx="16">
                  <c:v>13.4</c:v>
                </c:pt>
                <c:pt idx="17">
                  <c:v>13.8</c:v>
                </c:pt>
                <c:pt idx="18">
                  <c:v>14.2</c:v>
                </c:pt>
                <c:pt idx="19">
                  <c:v>14.6</c:v>
                </c:pt>
                <c:pt idx="20">
                  <c:v>15</c:v>
                </c:pt>
                <c:pt idx="21">
                  <c:v>15.4</c:v>
                </c:pt>
                <c:pt idx="22">
                  <c:v>15.8</c:v>
                </c:pt>
                <c:pt idx="23">
                  <c:v>16.2</c:v>
                </c:pt>
                <c:pt idx="24">
                  <c:v>16.600000000000001</c:v>
                </c:pt>
                <c:pt idx="25">
                  <c:v>17</c:v>
                </c:pt>
                <c:pt idx="26">
                  <c:v>17.399999999999999</c:v>
                </c:pt>
                <c:pt idx="27">
                  <c:v>17.8</c:v>
                </c:pt>
                <c:pt idx="28">
                  <c:v>18.2</c:v>
                </c:pt>
                <c:pt idx="29">
                  <c:v>18.600000000000001</c:v>
                </c:pt>
                <c:pt idx="30">
                  <c:v>19</c:v>
                </c:pt>
                <c:pt idx="31">
                  <c:v>19.400000000000002</c:v>
                </c:pt>
                <c:pt idx="32">
                  <c:v>19.8</c:v>
                </c:pt>
                <c:pt idx="33">
                  <c:v>20.200000000000003</c:v>
                </c:pt>
                <c:pt idx="34">
                  <c:v>20.599999999999998</c:v>
                </c:pt>
              </c:numCache>
            </c:numRef>
          </c:xVal>
          <c:yVal>
            <c:numRef>
              <c:f>Sheet1!$H$286:$H$320</c:f>
              <c:numCache>
                <c:formatCode>General</c:formatCode>
                <c:ptCount val="35"/>
                <c:pt idx="0">
                  <c:v>93.73</c:v>
                </c:pt>
                <c:pt idx="1">
                  <c:v>94.03</c:v>
                </c:pt>
                <c:pt idx="2">
                  <c:v>92.53</c:v>
                </c:pt>
                <c:pt idx="3">
                  <c:v>91.03</c:v>
                </c:pt>
                <c:pt idx="4">
                  <c:v>90.6</c:v>
                </c:pt>
                <c:pt idx="5">
                  <c:v>87.2</c:v>
                </c:pt>
                <c:pt idx="6">
                  <c:v>85.73</c:v>
                </c:pt>
                <c:pt idx="7">
                  <c:v>84.2</c:v>
                </c:pt>
                <c:pt idx="8">
                  <c:v>81.3</c:v>
                </c:pt>
                <c:pt idx="9">
                  <c:v>77.599999999999994</c:v>
                </c:pt>
                <c:pt idx="10">
                  <c:v>73.400000000000006</c:v>
                </c:pt>
                <c:pt idx="11">
                  <c:v>71.569999999999993</c:v>
                </c:pt>
                <c:pt idx="12">
                  <c:v>67.900000000000006</c:v>
                </c:pt>
                <c:pt idx="13">
                  <c:v>61.97</c:v>
                </c:pt>
                <c:pt idx="14">
                  <c:v>59.13</c:v>
                </c:pt>
                <c:pt idx="15">
                  <c:v>54.63</c:v>
                </c:pt>
                <c:pt idx="16">
                  <c:v>47.3</c:v>
                </c:pt>
                <c:pt idx="17">
                  <c:v>42.9</c:v>
                </c:pt>
                <c:pt idx="18">
                  <c:v>37.6</c:v>
                </c:pt>
                <c:pt idx="19">
                  <c:v>33.770000000000003</c:v>
                </c:pt>
                <c:pt idx="20">
                  <c:v>28.47</c:v>
                </c:pt>
                <c:pt idx="21">
                  <c:v>22.93</c:v>
                </c:pt>
                <c:pt idx="22">
                  <c:v>18.899999999999999</c:v>
                </c:pt>
                <c:pt idx="23">
                  <c:v>15.1</c:v>
                </c:pt>
                <c:pt idx="24">
                  <c:v>11.6</c:v>
                </c:pt>
                <c:pt idx="25">
                  <c:v>8.1300000000000008</c:v>
                </c:pt>
                <c:pt idx="26">
                  <c:v>5.43</c:v>
                </c:pt>
                <c:pt idx="27">
                  <c:v>3.7</c:v>
                </c:pt>
                <c:pt idx="28">
                  <c:v>1.7</c:v>
                </c:pt>
                <c:pt idx="29">
                  <c:v>0.9</c:v>
                </c:pt>
                <c:pt idx="30">
                  <c:v>0.43</c:v>
                </c:pt>
                <c:pt idx="31">
                  <c:v>0.33</c:v>
                </c:pt>
                <c:pt idx="32">
                  <c:v>0.03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9A6-489B-AF91-CD22C9FD0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713535"/>
        <c:axId val="501703935"/>
      </c:scatterChart>
      <c:valAx>
        <c:axId val="50171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PB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01703935"/>
        <c:crosses val="autoZero"/>
        <c:crossBetween val="midCat"/>
      </c:valAx>
      <c:valAx>
        <c:axId val="50170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Win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01713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46264</xdr:colOff>
      <xdr:row>2</xdr:row>
      <xdr:rowOff>16327</xdr:rowOff>
    </xdr:from>
    <xdr:to>
      <xdr:col>5</xdr:col>
      <xdr:colOff>6049735</xdr:colOff>
      <xdr:row>36</xdr:row>
      <xdr:rowOff>159202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19526D-20D3-4A5D-9B98-B3FA2540E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0.9249</cdr:x>
      <cdr:y>0.02145</cdr:y>
    </cdr:from>
    <cdr:to>
      <cdr:x>0.98938</cdr:x>
      <cdr:y>0.05362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F05B4A26-F8B6-A8A0-BC9C-9F20994C9206}"/>
            </a:ext>
          </a:extLst>
        </cdr:cNvPr>
        <cdr:cNvSpPr/>
      </cdr:nvSpPr>
      <cdr:spPr>
        <a:xfrm xmlns:a="http://schemas.openxmlformats.org/drawingml/2006/main">
          <a:off x="10518775" y="146050"/>
          <a:ext cx="733308" cy="219143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b="1">
              <a:solidFill>
                <a:sysClr val="windowText" lastClr="000000"/>
              </a:solidFill>
            </a:rPr>
            <a:t>1 : 1</a:t>
          </a:r>
          <a:endParaRPr lang="en-IL" b="1">
            <a:solidFill>
              <a:sysClr val="windowText" lastClr="000000"/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on\PycharmProjects\pythonProject\MineSweeper\Data\Analyze%20-%20DSM-SC.xlsx" TargetMode="External"/><Relationship Id="rId1" Type="http://schemas.openxmlformats.org/officeDocument/2006/relationships/externalLinkPath" Target="Analyze%20-%20DSM-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">
          <cell r="F4">
            <v>2.5555555555555558</v>
          </cell>
          <cell r="G4">
            <v>99.97</v>
          </cell>
          <cell r="P4">
            <v>1</v>
          </cell>
          <cell r="Q4">
            <v>100</v>
          </cell>
        </row>
        <row r="5">
          <cell r="F5">
            <v>3.1111111111111112</v>
          </cell>
          <cell r="G5">
            <v>99.8</v>
          </cell>
          <cell r="P5">
            <v>2</v>
          </cell>
          <cell r="Q5">
            <v>100</v>
          </cell>
        </row>
        <row r="6">
          <cell r="F6">
            <v>3.6666666666666665</v>
          </cell>
          <cell r="G6">
            <v>99.8</v>
          </cell>
          <cell r="P6">
            <v>3</v>
          </cell>
          <cell r="Q6">
            <v>99.97</v>
          </cell>
        </row>
        <row r="7">
          <cell r="F7">
            <v>4.2222222222222223</v>
          </cell>
          <cell r="G7">
            <v>99.5</v>
          </cell>
          <cell r="P7">
            <v>4</v>
          </cell>
          <cell r="Q7">
            <v>99.91</v>
          </cell>
        </row>
        <row r="8">
          <cell r="F8">
            <v>4.7777777777777777</v>
          </cell>
          <cell r="G8">
            <v>99.43</v>
          </cell>
          <cell r="P8">
            <v>5</v>
          </cell>
          <cell r="Q8">
            <v>99.67</v>
          </cell>
        </row>
        <row r="9">
          <cell r="F9">
            <v>5.3333333333333339</v>
          </cell>
          <cell r="G9">
            <v>99.27</v>
          </cell>
          <cell r="P9">
            <v>6</v>
          </cell>
          <cell r="Q9">
            <v>99.22</v>
          </cell>
        </row>
        <row r="10">
          <cell r="F10">
            <v>5.8888888888888884</v>
          </cell>
          <cell r="G10">
            <v>98.9</v>
          </cell>
          <cell r="P10">
            <v>7.0000000000000009</v>
          </cell>
          <cell r="Q10">
            <v>98.56</v>
          </cell>
        </row>
        <row r="11">
          <cell r="F11">
            <v>6.4444444444444446</v>
          </cell>
          <cell r="G11">
            <v>98</v>
          </cell>
          <cell r="P11">
            <v>8</v>
          </cell>
          <cell r="Q11">
            <v>97.2</v>
          </cell>
        </row>
        <row r="12">
          <cell r="F12">
            <v>7.0000000000000009</v>
          </cell>
          <cell r="G12">
            <v>97.07</v>
          </cell>
          <cell r="P12">
            <v>9</v>
          </cell>
          <cell r="Q12">
            <v>95.41</v>
          </cell>
        </row>
        <row r="13">
          <cell r="F13">
            <v>7.5555555555555554</v>
          </cell>
          <cell r="G13">
            <v>96.03</v>
          </cell>
          <cell r="P13">
            <v>10</v>
          </cell>
          <cell r="Q13">
            <v>92.86</v>
          </cell>
        </row>
        <row r="14">
          <cell r="F14">
            <v>8.1111111111111107</v>
          </cell>
          <cell r="G14">
            <v>95.43</v>
          </cell>
          <cell r="P14">
            <v>11</v>
          </cell>
          <cell r="Q14">
            <v>89.36</v>
          </cell>
        </row>
        <row r="15">
          <cell r="F15">
            <v>8.6666666666666679</v>
          </cell>
          <cell r="G15">
            <v>93.17</v>
          </cell>
          <cell r="P15">
            <v>12</v>
          </cell>
          <cell r="Q15">
            <v>84.77</v>
          </cell>
        </row>
        <row r="16">
          <cell r="F16">
            <v>9.2222222222222214</v>
          </cell>
          <cell r="G16">
            <v>91.87</v>
          </cell>
          <cell r="P16">
            <v>13</v>
          </cell>
          <cell r="Q16">
            <v>78.73</v>
          </cell>
        </row>
        <row r="17">
          <cell r="F17">
            <v>9.7777777777777786</v>
          </cell>
          <cell r="G17">
            <v>89.63</v>
          </cell>
          <cell r="P17">
            <v>14.000000000000002</v>
          </cell>
          <cell r="Q17">
            <v>72.05</v>
          </cell>
        </row>
        <row r="18">
          <cell r="F18">
            <v>10.333333333333334</v>
          </cell>
          <cell r="G18">
            <v>86.93</v>
          </cell>
          <cell r="P18">
            <v>15</v>
          </cell>
          <cell r="Q18">
            <v>64.209999999999994</v>
          </cell>
        </row>
        <row r="19">
          <cell r="F19">
            <v>10.888888888888888</v>
          </cell>
          <cell r="G19">
            <v>83.63</v>
          </cell>
          <cell r="P19">
            <v>16</v>
          </cell>
          <cell r="Q19">
            <v>55.82</v>
          </cell>
        </row>
        <row r="20">
          <cell r="F20">
            <v>11.444444444444445</v>
          </cell>
          <cell r="G20">
            <v>78.23</v>
          </cell>
          <cell r="P20">
            <v>17</v>
          </cell>
          <cell r="Q20">
            <v>46.33</v>
          </cell>
        </row>
        <row r="21">
          <cell r="F21">
            <v>12</v>
          </cell>
          <cell r="G21">
            <v>73.67</v>
          </cell>
          <cell r="P21">
            <v>18</v>
          </cell>
          <cell r="Q21">
            <v>38.08</v>
          </cell>
        </row>
        <row r="22">
          <cell r="F22">
            <v>12.555555555555555</v>
          </cell>
          <cell r="G22">
            <v>70.430000000000007</v>
          </cell>
          <cell r="P22">
            <v>19</v>
          </cell>
          <cell r="Q22">
            <v>29.92</v>
          </cell>
        </row>
        <row r="23">
          <cell r="F23">
            <v>13.111111111111112</v>
          </cell>
          <cell r="G23">
            <v>64.930000000000007</v>
          </cell>
          <cell r="P23">
            <v>20</v>
          </cell>
          <cell r="Q23">
            <v>22.53</v>
          </cell>
        </row>
        <row r="24">
          <cell r="F24">
            <v>13.666666666666666</v>
          </cell>
          <cell r="G24">
            <v>58.33</v>
          </cell>
          <cell r="P24">
            <v>21</v>
          </cell>
          <cell r="Q24">
            <v>16.489999999999998</v>
          </cell>
        </row>
        <row r="25">
          <cell r="F25">
            <v>14.222222222222221</v>
          </cell>
          <cell r="G25">
            <v>52.97</v>
          </cell>
          <cell r="P25">
            <v>22</v>
          </cell>
          <cell r="Q25">
            <v>12.05</v>
          </cell>
        </row>
        <row r="26">
          <cell r="F26">
            <v>14.777777777777779</v>
          </cell>
          <cell r="G26">
            <v>44.27</v>
          </cell>
          <cell r="P26">
            <v>23</v>
          </cell>
          <cell r="Q26">
            <v>8.08</v>
          </cell>
        </row>
        <row r="27">
          <cell r="F27">
            <v>15.333333333333332</v>
          </cell>
          <cell r="G27">
            <v>36.799999999999997</v>
          </cell>
          <cell r="P27">
            <v>24</v>
          </cell>
          <cell r="Q27">
            <v>5.64</v>
          </cell>
        </row>
        <row r="28">
          <cell r="F28">
            <v>15.888888888888889</v>
          </cell>
          <cell r="G28">
            <v>30.17</v>
          </cell>
          <cell r="P28">
            <v>25</v>
          </cell>
          <cell r="Q28">
            <v>3.66</v>
          </cell>
        </row>
        <row r="29">
          <cell r="F29">
            <v>16.444444444444446</v>
          </cell>
          <cell r="G29">
            <v>24.2</v>
          </cell>
          <cell r="P29">
            <v>26</v>
          </cell>
          <cell r="Q29">
            <v>2.3199999999999998</v>
          </cell>
        </row>
        <row r="30">
          <cell r="F30">
            <v>17</v>
          </cell>
          <cell r="G30">
            <v>16.329999999999998</v>
          </cell>
          <cell r="P30">
            <v>27</v>
          </cell>
          <cell r="Q30">
            <v>1.49</v>
          </cell>
        </row>
        <row r="31">
          <cell r="F31">
            <v>17.555555555555554</v>
          </cell>
          <cell r="G31">
            <v>11.9</v>
          </cell>
          <cell r="P31">
            <v>28.000000000000004</v>
          </cell>
          <cell r="Q31">
            <v>0.91</v>
          </cell>
        </row>
        <row r="32">
          <cell r="F32">
            <v>18.111111111111111</v>
          </cell>
          <cell r="G32">
            <v>8.1</v>
          </cell>
          <cell r="P32">
            <v>28.999999999999996</v>
          </cell>
          <cell r="Q32">
            <v>0.51</v>
          </cell>
        </row>
        <row r="33">
          <cell r="F33">
            <v>18.666666666666668</v>
          </cell>
          <cell r="G33">
            <v>4.67</v>
          </cell>
          <cell r="P33">
            <v>30</v>
          </cell>
          <cell r="Q33">
            <v>0.28000000000000003</v>
          </cell>
        </row>
        <row r="34">
          <cell r="F34">
            <v>19.222222222222221</v>
          </cell>
          <cell r="G34">
            <v>2.33</v>
          </cell>
          <cell r="P34">
            <v>31</v>
          </cell>
          <cell r="Q34">
            <v>0.15</v>
          </cell>
        </row>
        <row r="35">
          <cell r="F35">
            <v>19.777777777777779</v>
          </cell>
          <cell r="G35">
            <v>1.23</v>
          </cell>
          <cell r="P35">
            <v>32</v>
          </cell>
          <cell r="Q35">
            <v>0.1</v>
          </cell>
        </row>
        <row r="36">
          <cell r="F36">
            <v>20.333333333333332</v>
          </cell>
          <cell r="G36">
            <v>0.67</v>
          </cell>
          <cell r="P36">
            <v>33</v>
          </cell>
          <cell r="Q36">
            <v>0.04</v>
          </cell>
        </row>
        <row r="37">
          <cell r="F37">
            <v>20.888888888888889</v>
          </cell>
          <cell r="G37">
            <v>0.27</v>
          </cell>
          <cell r="P37">
            <v>34</v>
          </cell>
          <cell r="Q37">
            <v>0.05</v>
          </cell>
        </row>
        <row r="38">
          <cell r="F38">
            <v>21.444444444444443</v>
          </cell>
          <cell r="G38">
            <v>7.0000000000000007E-2</v>
          </cell>
          <cell r="P38">
            <v>35</v>
          </cell>
          <cell r="Q38">
            <v>0.02</v>
          </cell>
        </row>
        <row r="39">
          <cell r="F39">
            <v>22</v>
          </cell>
          <cell r="G39">
            <v>0.03</v>
          </cell>
          <cell r="P39">
            <v>36</v>
          </cell>
          <cell r="Q39">
            <v>0.02</v>
          </cell>
        </row>
        <row r="40">
          <cell r="F40">
            <v>22.555555555555557</v>
          </cell>
          <cell r="G40">
            <v>0.03</v>
          </cell>
          <cell r="P40">
            <v>37</v>
          </cell>
          <cell r="Q40">
            <v>0.01</v>
          </cell>
        </row>
        <row r="41">
          <cell r="F41">
            <v>23.111111111111111</v>
          </cell>
          <cell r="G41">
            <v>0.03</v>
          </cell>
        </row>
        <row r="42">
          <cell r="F42">
            <v>23.666666666666668</v>
          </cell>
          <cell r="G42">
            <v>0</v>
          </cell>
        </row>
        <row r="43">
          <cell r="F43">
            <v>24.222222222222221</v>
          </cell>
          <cell r="G43">
            <v>0</v>
          </cell>
        </row>
        <row r="44">
          <cell r="F44">
            <v>24.777777777777779</v>
          </cell>
          <cell r="G44">
            <v>0</v>
          </cell>
        </row>
        <row r="45">
          <cell r="F45">
            <v>25.333333333333336</v>
          </cell>
          <cell r="G45">
            <v>0</v>
          </cell>
        </row>
        <row r="48">
          <cell r="P48">
            <v>4.4444444444444446</v>
          </cell>
          <cell r="Q48">
            <v>99.63</v>
          </cell>
        </row>
        <row r="49">
          <cell r="P49">
            <v>6.666666666666667</v>
          </cell>
          <cell r="Q49">
            <v>98.27</v>
          </cell>
        </row>
        <row r="50">
          <cell r="P50">
            <v>8.8888888888888893</v>
          </cell>
          <cell r="Q50">
            <v>94.96</v>
          </cell>
        </row>
        <row r="51">
          <cell r="P51">
            <v>11.111111111111111</v>
          </cell>
          <cell r="Q51">
            <v>87.01</v>
          </cell>
        </row>
        <row r="52">
          <cell r="P52">
            <v>13.333333333333334</v>
          </cell>
          <cell r="Q52">
            <v>72.41</v>
          </cell>
        </row>
        <row r="53">
          <cell r="F53">
            <v>2.8571428571428572</v>
          </cell>
          <cell r="G53">
            <v>99.87</v>
          </cell>
          <cell r="P53">
            <v>15.555555555555555</v>
          </cell>
          <cell r="Q53">
            <v>50.01</v>
          </cell>
        </row>
        <row r="54">
          <cell r="F54">
            <v>3.2653061224489797</v>
          </cell>
          <cell r="G54">
            <v>99.9</v>
          </cell>
          <cell r="P54">
            <v>17.777777777777779</v>
          </cell>
          <cell r="Q54">
            <v>26.48</v>
          </cell>
        </row>
        <row r="55">
          <cell r="F55">
            <v>3.6734693877551026</v>
          </cell>
          <cell r="G55">
            <v>99.9</v>
          </cell>
          <cell r="P55">
            <v>20</v>
          </cell>
          <cell r="Q55">
            <v>9.58</v>
          </cell>
        </row>
        <row r="56">
          <cell r="F56">
            <v>4.0816326530612246</v>
          </cell>
          <cell r="G56">
            <v>99.57</v>
          </cell>
          <cell r="P56">
            <v>22.222222222222221</v>
          </cell>
          <cell r="Q56">
            <v>2.15</v>
          </cell>
        </row>
        <row r="57">
          <cell r="F57">
            <v>4.4897959183673466</v>
          </cell>
          <cell r="G57">
            <v>99.33</v>
          </cell>
          <cell r="P57">
            <v>24.444444444444443</v>
          </cell>
          <cell r="Q57">
            <v>0.39</v>
          </cell>
        </row>
        <row r="58">
          <cell r="F58">
            <v>4.8979591836734695</v>
          </cell>
          <cell r="G58">
            <v>99.4</v>
          </cell>
          <cell r="P58">
            <v>26.666666666666668</v>
          </cell>
          <cell r="Q58">
            <v>0.03</v>
          </cell>
        </row>
        <row r="59">
          <cell r="F59">
            <v>5.3061224489795915</v>
          </cell>
          <cell r="G59">
            <v>99.17</v>
          </cell>
          <cell r="P59">
            <v>28.888888888888886</v>
          </cell>
          <cell r="Q59">
            <v>0</v>
          </cell>
        </row>
        <row r="60">
          <cell r="F60">
            <v>5.7142857142857144</v>
          </cell>
          <cell r="G60">
            <v>99.13</v>
          </cell>
          <cell r="P60">
            <v>31.111111111111111</v>
          </cell>
          <cell r="Q60">
            <v>0</v>
          </cell>
        </row>
        <row r="61">
          <cell r="F61">
            <v>6.1224489795918364</v>
          </cell>
          <cell r="G61">
            <v>98.57</v>
          </cell>
        </row>
        <row r="62">
          <cell r="F62">
            <v>6.5306122448979593</v>
          </cell>
          <cell r="G62">
            <v>97.8</v>
          </cell>
        </row>
        <row r="63">
          <cell r="F63">
            <v>6.9387755102040813</v>
          </cell>
          <cell r="G63">
            <v>96.97</v>
          </cell>
        </row>
        <row r="64">
          <cell r="F64">
            <v>7.3469387755102051</v>
          </cell>
          <cell r="G64">
            <v>96.57</v>
          </cell>
        </row>
        <row r="65">
          <cell r="F65">
            <v>7.7551020408163263</v>
          </cell>
          <cell r="G65">
            <v>94.6</v>
          </cell>
        </row>
        <row r="66">
          <cell r="F66">
            <v>8.1632653061224492</v>
          </cell>
          <cell r="G66">
            <v>94.43</v>
          </cell>
        </row>
        <row r="67">
          <cell r="F67">
            <v>8.5714285714285712</v>
          </cell>
          <cell r="G67">
            <v>93.5</v>
          </cell>
        </row>
        <row r="68">
          <cell r="F68">
            <v>8.9795918367346932</v>
          </cell>
          <cell r="G68">
            <v>92.13</v>
          </cell>
          <cell r="P68">
            <v>2.5</v>
          </cell>
          <cell r="Q68">
            <v>99.94</v>
          </cell>
        </row>
        <row r="69">
          <cell r="F69">
            <v>9.387755102040817</v>
          </cell>
          <cell r="G69">
            <v>90.33</v>
          </cell>
          <cell r="P69">
            <v>3.75</v>
          </cell>
          <cell r="Q69">
            <v>99.77</v>
          </cell>
        </row>
        <row r="70">
          <cell r="F70">
            <v>9.795918367346939</v>
          </cell>
          <cell r="G70">
            <v>88.67</v>
          </cell>
          <cell r="P70">
            <v>5</v>
          </cell>
          <cell r="Q70">
            <v>99.36</v>
          </cell>
        </row>
        <row r="71">
          <cell r="F71">
            <v>10.204081632653061</v>
          </cell>
          <cell r="G71">
            <v>86.4</v>
          </cell>
          <cell r="P71">
            <v>6.25</v>
          </cell>
          <cell r="Q71">
            <v>98.57</v>
          </cell>
        </row>
        <row r="72">
          <cell r="F72">
            <v>10.612244897959183</v>
          </cell>
          <cell r="G72">
            <v>83.63</v>
          </cell>
          <cell r="P72">
            <v>7.5</v>
          </cell>
          <cell r="Q72">
            <v>97.04</v>
          </cell>
        </row>
        <row r="73">
          <cell r="F73">
            <v>11.020408163265307</v>
          </cell>
          <cell r="G73">
            <v>81.53</v>
          </cell>
          <cell r="P73">
            <v>8.75</v>
          </cell>
          <cell r="Q73">
            <v>94.57</v>
          </cell>
        </row>
        <row r="74">
          <cell r="F74">
            <v>11.428571428571429</v>
          </cell>
          <cell r="G74">
            <v>77.83</v>
          </cell>
          <cell r="P74">
            <v>10</v>
          </cell>
          <cell r="Q74">
            <v>90.69</v>
          </cell>
        </row>
        <row r="75">
          <cell r="F75">
            <v>11.836734693877551</v>
          </cell>
          <cell r="G75">
            <v>76.37</v>
          </cell>
          <cell r="P75">
            <v>11.25</v>
          </cell>
          <cell r="Q75">
            <v>84.32</v>
          </cell>
        </row>
        <row r="76">
          <cell r="F76">
            <v>12.244897959183673</v>
          </cell>
          <cell r="G76">
            <v>72.17</v>
          </cell>
          <cell r="P76">
            <v>12.5</v>
          </cell>
          <cell r="Q76">
            <v>76.2</v>
          </cell>
        </row>
        <row r="77">
          <cell r="F77">
            <v>12.653061224489795</v>
          </cell>
          <cell r="G77">
            <v>67.8</v>
          </cell>
          <cell r="P77">
            <v>13.750000000000002</v>
          </cell>
          <cell r="Q77">
            <v>64.42</v>
          </cell>
        </row>
        <row r="78">
          <cell r="F78">
            <v>13.061224489795919</v>
          </cell>
          <cell r="G78">
            <v>64.599999999999994</v>
          </cell>
          <cell r="P78">
            <v>15</v>
          </cell>
          <cell r="Q78">
            <v>51.19</v>
          </cell>
        </row>
        <row r="79">
          <cell r="F79">
            <v>13.469387755102041</v>
          </cell>
          <cell r="G79">
            <v>57.73</v>
          </cell>
          <cell r="P79">
            <v>16.25</v>
          </cell>
          <cell r="Q79">
            <v>35.880000000000003</v>
          </cell>
        </row>
        <row r="80">
          <cell r="F80">
            <v>13.877551020408163</v>
          </cell>
          <cell r="G80">
            <v>53.37</v>
          </cell>
          <cell r="P80">
            <v>17.5</v>
          </cell>
          <cell r="Q80">
            <v>21.37</v>
          </cell>
        </row>
        <row r="81">
          <cell r="F81">
            <v>14.285714285714285</v>
          </cell>
          <cell r="G81">
            <v>49.9</v>
          </cell>
          <cell r="P81">
            <v>18.75</v>
          </cell>
          <cell r="Q81">
            <v>10.53</v>
          </cell>
        </row>
        <row r="82">
          <cell r="F82">
            <v>14.69387755102041</v>
          </cell>
          <cell r="G82">
            <v>42.63</v>
          </cell>
          <cell r="P82">
            <v>20</v>
          </cell>
          <cell r="Q82">
            <v>4.29</v>
          </cell>
        </row>
        <row r="83">
          <cell r="F83">
            <v>15.102040816326531</v>
          </cell>
          <cell r="G83">
            <v>37.1</v>
          </cell>
          <cell r="P83">
            <v>21.25</v>
          </cell>
          <cell r="Q83">
            <v>1.33</v>
          </cell>
        </row>
        <row r="84">
          <cell r="F84">
            <v>15.510204081632653</v>
          </cell>
          <cell r="G84">
            <v>32.729999999999997</v>
          </cell>
          <cell r="P84">
            <v>22.5</v>
          </cell>
          <cell r="Q84">
            <v>0.28000000000000003</v>
          </cell>
        </row>
        <row r="85">
          <cell r="F85">
            <v>15.918367346938775</v>
          </cell>
          <cell r="G85">
            <v>25.7</v>
          </cell>
          <cell r="P85">
            <v>23.75</v>
          </cell>
          <cell r="Q85">
            <v>7.0000000000000007E-2</v>
          </cell>
        </row>
        <row r="86">
          <cell r="F86">
            <v>16.326530612244898</v>
          </cell>
          <cell r="G86">
            <v>25.13</v>
          </cell>
          <cell r="P86">
            <v>25</v>
          </cell>
          <cell r="Q86">
            <v>0.01</v>
          </cell>
        </row>
        <row r="87">
          <cell r="F87">
            <v>16.73469387755102</v>
          </cell>
          <cell r="G87">
            <v>18.170000000000002</v>
          </cell>
        </row>
        <row r="88">
          <cell r="F88">
            <v>17.142857142857142</v>
          </cell>
          <cell r="G88">
            <v>15.9</v>
          </cell>
        </row>
        <row r="89">
          <cell r="F89">
            <v>17.551020408163264</v>
          </cell>
          <cell r="G89">
            <v>10.8</v>
          </cell>
        </row>
        <row r="90">
          <cell r="F90">
            <v>17.959183673469386</v>
          </cell>
          <cell r="G90">
            <v>8.1999999999999993</v>
          </cell>
        </row>
        <row r="91">
          <cell r="F91">
            <v>18.367346938775512</v>
          </cell>
          <cell r="G91">
            <v>5.97</v>
          </cell>
        </row>
        <row r="92">
          <cell r="F92">
            <v>18.775510204081634</v>
          </cell>
          <cell r="G92">
            <v>3.33</v>
          </cell>
        </row>
        <row r="93">
          <cell r="F93">
            <v>19.183673469387756</v>
          </cell>
          <cell r="G93">
            <v>2.13</v>
          </cell>
        </row>
        <row r="94">
          <cell r="F94">
            <v>19.591836734693878</v>
          </cell>
          <cell r="G94">
            <v>1.2</v>
          </cell>
          <cell r="P94">
            <v>7.1999999999999993</v>
          </cell>
          <cell r="Q94">
            <v>96.9</v>
          </cell>
        </row>
        <row r="95">
          <cell r="F95">
            <v>20</v>
          </cell>
          <cell r="G95">
            <v>0.43</v>
          </cell>
          <cell r="P95">
            <v>8</v>
          </cell>
          <cell r="Q95">
            <v>95.77</v>
          </cell>
        </row>
        <row r="96">
          <cell r="F96">
            <v>20.408163265306122</v>
          </cell>
          <cell r="G96">
            <v>0.17</v>
          </cell>
          <cell r="P96">
            <v>8.7999999999999989</v>
          </cell>
          <cell r="Q96">
            <v>93.86</v>
          </cell>
        </row>
        <row r="97">
          <cell r="F97">
            <v>20.816326530612244</v>
          </cell>
          <cell r="G97">
            <v>0.03</v>
          </cell>
          <cell r="P97">
            <v>9.6</v>
          </cell>
          <cell r="Q97">
            <v>90.93</v>
          </cell>
        </row>
        <row r="98">
          <cell r="F98">
            <v>21.224489795918366</v>
          </cell>
          <cell r="G98">
            <v>7.0000000000000007E-2</v>
          </cell>
          <cell r="P98">
            <v>10.4</v>
          </cell>
          <cell r="Q98">
            <v>87.57</v>
          </cell>
        </row>
        <row r="99">
          <cell r="F99">
            <v>21.632653061224492</v>
          </cell>
          <cell r="G99">
            <v>0</v>
          </cell>
          <cell r="P99">
            <v>11.200000000000001</v>
          </cell>
          <cell r="Q99">
            <v>83.1</v>
          </cell>
        </row>
        <row r="100">
          <cell r="F100">
            <v>22.040816326530614</v>
          </cell>
          <cell r="G100">
            <v>0.03</v>
          </cell>
          <cell r="P100">
            <v>12</v>
          </cell>
          <cell r="Q100">
            <v>77.92</v>
          </cell>
        </row>
        <row r="101">
          <cell r="F101">
            <v>22.448979591836736</v>
          </cell>
          <cell r="G101">
            <v>0</v>
          </cell>
          <cell r="P101">
            <v>12.8</v>
          </cell>
          <cell r="Q101">
            <v>70.930000000000007</v>
          </cell>
        </row>
        <row r="102">
          <cell r="F102">
            <v>22.857142857142858</v>
          </cell>
          <cell r="G102">
            <v>0</v>
          </cell>
          <cell r="P102">
            <v>13.600000000000001</v>
          </cell>
          <cell r="Q102">
            <v>64.28</v>
          </cell>
        </row>
        <row r="103">
          <cell r="P103">
            <v>14.399999999999999</v>
          </cell>
          <cell r="Q103">
            <v>53.65</v>
          </cell>
        </row>
        <row r="104">
          <cell r="P104">
            <v>15.2</v>
          </cell>
          <cell r="Q104">
            <v>45.44</v>
          </cell>
        </row>
        <row r="105">
          <cell r="P105">
            <v>16</v>
          </cell>
          <cell r="Q105">
            <v>34.43</v>
          </cell>
        </row>
        <row r="106">
          <cell r="P106">
            <v>16.8</v>
          </cell>
          <cell r="Q106">
            <v>23.96</v>
          </cell>
        </row>
        <row r="107">
          <cell r="P107">
            <v>17.599999999999998</v>
          </cell>
          <cell r="Q107">
            <v>15.45</v>
          </cell>
        </row>
        <row r="108">
          <cell r="P108">
            <v>18.399999999999999</v>
          </cell>
          <cell r="Q108">
            <v>9.6</v>
          </cell>
        </row>
        <row r="109">
          <cell r="P109">
            <v>19.2</v>
          </cell>
          <cell r="Q109">
            <v>4.5999999999999996</v>
          </cell>
        </row>
        <row r="110">
          <cell r="F110">
            <v>4.6875</v>
          </cell>
          <cell r="G110">
            <v>99.33</v>
          </cell>
          <cell r="P110">
            <v>20</v>
          </cell>
          <cell r="Q110">
            <v>1.85</v>
          </cell>
        </row>
        <row r="111">
          <cell r="F111">
            <v>5</v>
          </cell>
          <cell r="G111">
            <v>99.07</v>
          </cell>
          <cell r="P111">
            <v>20.8</v>
          </cell>
          <cell r="Q111">
            <v>0.84</v>
          </cell>
        </row>
        <row r="112">
          <cell r="F112">
            <v>5.3125</v>
          </cell>
          <cell r="G112">
            <v>98.98</v>
          </cell>
          <cell r="P112">
            <v>21.6</v>
          </cell>
          <cell r="Q112">
            <v>0.28000000000000003</v>
          </cell>
        </row>
        <row r="113">
          <cell r="F113">
            <v>5.625</v>
          </cell>
          <cell r="G113">
            <v>98.66</v>
          </cell>
          <cell r="P113">
            <v>22.400000000000002</v>
          </cell>
          <cell r="Q113">
            <v>0.09</v>
          </cell>
        </row>
        <row r="114">
          <cell r="F114">
            <v>5.9375</v>
          </cell>
          <cell r="G114">
            <v>98.47</v>
          </cell>
          <cell r="P114">
            <v>23.200000000000003</v>
          </cell>
          <cell r="Q114">
            <v>0.02</v>
          </cell>
        </row>
        <row r="115">
          <cell r="F115">
            <v>6.25</v>
          </cell>
          <cell r="G115">
            <v>97.9</v>
          </cell>
          <cell r="P115">
            <v>24</v>
          </cell>
          <cell r="Q115">
            <v>0.01</v>
          </cell>
        </row>
        <row r="116">
          <cell r="F116">
            <v>6.5625</v>
          </cell>
          <cell r="G116">
            <v>97.62</v>
          </cell>
        </row>
        <row r="117">
          <cell r="F117">
            <v>6.8750000000000009</v>
          </cell>
          <cell r="G117">
            <v>97.01</v>
          </cell>
        </row>
        <row r="118">
          <cell r="F118">
            <v>7.1874999999999991</v>
          </cell>
          <cell r="G118">
            <v>96.68</v>
          </cell>
        </row>
        <row r="119">
          <cell r="F119">
            <v>7.5</v>
          </cell>
          <cell r="G119">
            <v>95.99</v>
          </cell>
        </row>
        <row r="120">
          <cell r="F120">
            <v>7.8125</v>
          </cell>
          <cell r="G120">
            <v>95.22</v>
          </cell>
        </row>
        <row r="121">
          <cell r="F121">
            <v>8.125</v>
          </cell>
          <cell r="G121">
            <v>94.51</v>
          </cell>
        </row>
        <row r="122">
          <cell r="F122">
            <v>8.4375</v>
          </cell>
          <cell r="G122">
            <v>93.21</v>
          </cell>
        </row>
        <row r="123">
          <cell r="F123">
            <v>8.75</v>
          </cell>
          <cell r="G123">
            <v>92.74</v>
          </cell>
        </row>
        <row r="124">
          <cell r="F124">
            <v>9.0625</v>
          </cell>
          <cell r="G124">
            <v>90.83</v>
          </cell>
        </row>
        <row r="125">
          <cell r="F125">
            <v>9.375</v>
          </cell>
          <cell r="G125">
            <v>89.85</v>
          </cell>
        </row>
        <row r="126">
          <cell r="F126">
            <v>9.6875</v>
          </cell>
          <cell r="G126">
            <v>88.28</v>
          </cell>
        </row>
        <row r="127">
          <cell r="F127">
            <v>10</v>
          </cell>
          <cell r="G127">
            <v>86.61</v>
          </cell>
        </row>
        <row r="128">
          <cell r="F128">
            <v>10.3125</v>
          </cell>
          <cell r="G128">
            <v>85.06</v>
          </cell>
        </row>
        <row r="129">
          <cell r="F129">
            <v>10.625</v>
          </cell>
          <cell r="G129">
            <v>83.08</v>
          </cell>
        </row>
        <row r="130">
          <cell r="F130">
            <v>10.9375</v>
          </cell>
          <cell r="G130">
            <v>81.069999999999993</v>
          </cell>
        </row>
        <row r="131">
          <cell r="F131">
            <v>11.25</v>
          </cell>
          <cell r="G131">
            <v>78.319999999999993</v>
          </cell>
        </row>
        <row r="132">
          <cell r="F132">
            <v>11.5625</v>
          </cell>
          <cell r="G132">
            <v>76.09</v>
          </cell>
        </row>
        <row r="133">
          <cell r="F133">
            <v>11.875</v>
          </cell>
          <cell r="G133">
            <v>73.180000000000007</v>
          </cell>
        </row>
        <row r="134">
          <cell r="F134">
            <v>12.1875</v>
          </cell>
          <cell r="G134">
            <v>70.42</v>
          </cell>
        </row>
        <row r="135">
          <cell r="F135">
            <v>12.5</v>
          </cell>
          <cell r="G135">
            <v>71.94</v>
          </cell>
        </row>
        <row r="136">
          <cell r="F136">
            <v>12.812499999999998</v>
          </cell>
          <cell r="G136">
            <v>69.67</v>
          </cell>
        </row>
        <row r="137">
          <cell r="F137">
            <v>13.125</v>
          </cell>
          <cell r="G137">
            <v>62.97</v>
          </cell>
        </row>
        <row r="138">
          <cell r="F138">
            <v>13.4375</v>
          </cell>
          <cell r="G138">
            <v>62.73</v>
          </cell>
        </row>
        <row r="139">
          <cell r="F139">
            <v>13.750000000000002</v>
          </cell>
          <cell r="G139">
            <v>59.13</v>
          </cell>
        </row>
        <row r="140">
          <cell r="F140">
            <v>14.0625</v>
          </cell>
          <cell r="G140">
            <v>53.4</v>
          </cell>
        </row>
        <row r="141">
          <cell r="F141">
            <v>14.374999999999998</v>
          </cell>
          <cell r="G141">
            <v>50.57</v>
          </cell>
        </row>
        <row r="142">
          <cell r="F142">
            <v>14.6875</v>
          </cell>
          <cell r="G142">
            <v>44.17</v>
          </cell>
        </row>
        <row r="143">
          <cell r="F143">
            <v>15</v>
          </cell>
          <cell r="G143">
            <v>40.57</v>
          </cell>
        </row>
        <row r="144">
          <cell r="F144">
            <v>15.312500000000002</v>
          </cell>
          <cell r="G144">
            <v>35.43</v>
          </cell>
        </row>
        <row r="145">
          <cell r="F145">
            <v>15.625</v>
          </cell>
          <cell r="G145">
            <v>31.2</v>
          </cell>
        </row>
        <row r="146">
          <cell r="F146">
            <v>15.937499999999998</v>
          </cell>
          <cell r="G146">
            <v>26.43</v>
          </cell>
        </row>
        <row r="147">
          <cell r="F147">
            <v>16.25</v>
          </cell>
          <cell r="G147">
            <v>22.43</v>
          </cell>
        </row>
        <row r="148">
          <cell r="F148">
            <v>16.5625</v>
          </cell>
          <cell r="G148">
            <v>17.829999999999998</v>
          </cell>
        </row>
        <row r="149">
          <cell r="F149">
            <v>16.875</v>
          </cell>
          <cell r="G149">
            <v>15.33</v>
          </cell>
        </row>
        <row r="150">
          <cell r="F150">
            <v>17.1875</v>
          </cell>
          <cell r="G150">
            <v>12.03</v>
          </cell>
        </row>
        <row r="151">
          <cell r="F151">
            <v>17.5</v>
          </cell>
          <cell r="G151">
            <v>8.27</v>
          </cell>
        </row>
        <row r="152">
          <cell r="F152">
            <v>17.8125</v>
          </cell>
          <cell r="G152">
            <v>6.4</v>
          </cell>
        </row>
        <row r="153">
          <cell r="F153">
            <v>18.125</v>
          </cell>
          <cell r="G153">
            <v>4.7699999999999996</v>
          </cell>
        </row>
        <row r="154">
          <cell r="F154">
            <v>18.4375</v>
          </cell>
          <cell r="G154">
            <v>3.43</v>
          </cell>
        </row>
        <row r="155">
          <cell r="F155">
            <v>18.75</v>
          </cell>
          <cell r="G155">
            <v>1.8</v>
          </cell>
        </row>
        <row r="156">
          <cell r="F156">
            <v>19.0625</v>
          </cell>
          <cell r="G156">
            <v>1.57</v>
          </cell>
        </row>
        <row r="157">
          <cell r="F157">
            <v>19.375</v>
          </cell>
          <cell r="G157">
            <v>0.56999999999999995</v>
          </cell>
        </row>
        <row r="158">
          <cell r="F158">
            <v>19.6875</v>
          </cell>
          <cell r="G158">
            <v>0.43</v>
          </cell>
        </row>
        <row r="159">
          <cell r="F159">
            <v>20</v>
          </cell>
          <cell r="G159">
            <v>0.1</v>
          </cell>
        </row>
        <row r="215">
          <cell r="F215">
            <v>7.0000000000000009</v>
          </cell>
          <cell r="G215">
            <v>96.93</v>
          </cell>
        </row>
        <row r="216">
          <cell r="F216">
            <v>7.1999999999999993</v>
          </cell>
          <cell r="G216">
            <v>96.3</v>
          </cell>
        </row>
        <row r="217">
          <cell r="F217">
            <v>7.3999999999999995</v>
          </cell>
          <cell r="G217">
            <v>95.2</v>
          </cell>
        </row>
        <row r="218">
          <cell r="F218">
            <v>7.6</v>
          </cell>
          <cell r="G218">
            <v>95.1</v>
          </cell>
        </row>
        <row r="219">
          <cell r="F219">
            <v>7.8</v>
          </cell>
          <cell r="G219">
            <v>94.4</v>
          </cell>
        </row>
        <row r="220">
          <cell r="F220">
            <v>8</v>
          </cell>
          <cell r="G220">
            <v>95.8</v>
          </cell>
        </row>
        <row r="221">
          <cell r="F221">
            <v>8.2000000000000011</v>
          </cell>
          <cell r="G221">
            <v>95.27</v>
          </cell>
        </row>
        <row r="222">
          <cell r="F222">
            <v>8.4</v>
          </cell>
          <cell r="G222">
            <v>94.57</v>
          </cell>
        </row>
        <row r="223">
          <cell r="F223">
            <v>8.6</v>
          </cell>
          <cell r="G223">
            <v>93.13</v>
          </cell>
        </row>
        <row r="224">
          <cell r="F224">
            <v>8.7999999999999989</v>
          </cell>
          <cell r="G224">
            <v>93.47</v>
          </cell>
        </row>
        <row r="225">
          <cell r="F225">
            <v>9</v>
          </cell>
          <cell r="G225">
            <v>92.47</v>
          </cell>
        </row>
        <row r="226">
          <cell r="F226">
            <v>9.1999999999999993</v>
          </cell>
          <cell r="G226">
            <v>91.8</v>
          </cell>
        </row>
        <row r="227">
          <cell r="F227">
            <v>9.4</v>
          </cell>
          <cell r="G227">
            <v>91.33</v>
          </cell>
        </row>
        <row r="228">
          <cell r="F228">
            <v>9.6</v>
          </cell>
          <cell r="G228">
            <v>90.3</v>
          </cell>
        </row>
        <row r="229">
          <cell r="F229">
            <v>9.8000000000000007</v>
          </cell>
          <cell r="G229">
            <v>89.8</v>
          </cell>
        </row>
        <row r="230">
          <cell r="F230">
            <v>10</v>
          </cell>
          <cell r="G230">
            <v>89.37</v>
          </cell>
        </row>
        <row r="231">
          <cell r="F231">
            <v>10.199999999999999</v>
          </cell>
          <cell r="G231">
            <v>87.27</v>
          </cell>
        </row>
        <row r="232">
          <cell r="F232">
            <v>10.4</v>
          </cell>
          <cell r="G232">
            <v>85.47</v>
          </cell>
        </row>
        <row r="233">
          <cell r="F233">
            <v>10.6</v>
          </cell>
          <cell r="G233">
            <v>84.77</v>
          </cell>
        </row>
        <row r="234">
          <cell r="F234">
            <v>10.8</v>
          </cell>
          <cell r="G234">
            <v>83.23</v>
          </cell>
        </row>
        <row r="235">
          <cell r="F235">
            <v>11</v>
          </cell>
          <cell r="G235">
            <v>81.77</v>
          </cell>
        </row>
        <row r="236">
          <cell r="F236">
            <v>11.200000000000001</v>
          </cell>
          <cell r="G236">
            <v>80.47</v>
          </cell>
        </row>
        <row r="237">
          <cell r="F237">
            <v>11.4</v>
          </cell>
          <cell r="G237">
            <v>78.77</v>
          </cell>
        </row>
        <row r="238">
          <cell r="F238">
            <v>11.600000000000001</v>
          </cell>
          <cell r="G238">
            <v>76.53</v>
          </cell>
        </row>
        <row r="239">
          <cell r="F239">
            <v>11.799999999999999</v>
          </cell>
          <cell r="G239">
            <v>73.930000000000007</v>
          </cell>
        </row>
        <row r="240">
          <cell r="F240">
            <v>12</v>
          </cell>
          <cell r="G240">
            <v>73.33</v>
          </cell>
        </row>
        <row r="241">
          <cell r="F241">
            <v>12.2</v>
          </cell>
          <cell r="G241">
            <v>70.53</v>
          </cell>
        </row>
        <row r="242">
          <cell r="F242">
            <v>12.4</v>
          </cell>
          <cell r="G242">
            <v>69.27</v>
          </cell>
        </row>
        <row r="243">
          <cell r="F243">
            <v>12.6</v>
          </cell>
          <cell r="G243">
            <v>69.17</v>
          </cell>
        </row>
        <row r="244">
          <cell r="F244">
            <v>12.8</v>
          </cell>
          <cell r="G244">
            <v>66.930000000000007</v>
          </cell>
        </row>
        <row r="245">
          <cell r="F245">
            <v>13</v>
          </cell>
          <cell r="G245">
            <v>61.23</v>
          </cell>
        </row>
        <row r="246">
          <cell r="F246">
            <v>13.200000000000001</v>
          </cell>
          <cell r="G246">
            <v>59.8</v>
          </cell>
        </row>
        <row r="247">
          <cell r="F247">
            <v>13.4</v>
          </cell>
          <cell r="G247">
            <v>55.37</v>
          </cell>
        </row>
        <row r="248">
          <cell r="F248">
            <v>13.600000000000001</v>
          </cell>
          <cell r="G248">
            <v>52.7</v>
          </cell>
        </row>
        <row r="249">
          <cell r="F249">
            <v>13.8</v>
          </cell>
          <cell r="G249">
            <v>51.3</v>
          </cell>
        </row>
        <row r="250">
          <cell r="F250">
            <v>14.000000000000002</v>
          </cell>
          <cell r="G250">
            <v>48.73</v>
          </cell>
        </row>
        <row r="251">
          <cell r="F251">
            <v>14.2</v>
          </cell>
          <cell r="G251">
            <v>45.3</v>
          </cell>
        </row>
        <row r="252">
          <cell r="F252">
            <v>14.399999999999999</v>
          </cell>
          <cell r="G252">
            <v>43.43</v>
          </cell>
        </row>
        <row r="253">
          <cell r="F253">
            <v>14.6</v>
          </cell>
          <cell r="G253">
            <v>40.130000000000003</v>
          </cell>
        </row>
        <row r="254">
          <cell r="F254">
            <v>14.799999999999999</v>
          </cell>
          <cell r="G254">
            <v>36.33</v>
          </cell>
        </row>
        <row r="255">
          <cell r="F255">
            <v>15</v>
          </cell>
          <cell r="G255">
            <v>32.83</v>
          </cell>
        </row>
        <row r="256">
          <cell r="F256">
            <v>15.2</v>
          </cell>
          <cell r="G256">
            <v>30.63</v>
          </cell>
        </row>
        <row r="257">
          <cell r="F257">
            <v>15.4</v>
          </cell>
          <cell r="G257">
            <v>28.8</v>
          </cell>
        </row>
        <row r="258">
          <cell r="F258">
            <v>15.6</v>
          </cell>
          <cell r="G258">
            <v>25.07</v>
          </cell>
        </row>
        <row r="259">
          <cell r="F259">
            <v>15.8</v>
          </cell>
          <cell r="G259">
            <v>24.43</v>
          </cell>
        </row>
        <row r="260">
          <cell r="F260">
            <v>16</v>
          </cell>
          <cell r="G260">
            <v>24.87</v>
          </cell>
        </row>
        <row r="261">
          <cell r="F261">
            <v>16.2</v>
          </cell>
          <cell r="G261">
            <v>20.67</v>
          </cell>
        </row>
        <row r="262">
          <cell r="F262">
            <v>16.400000000000002</v>
          </cell>
          <cell r="G262">
            <v>18.670000000000002</v>
          </cell>
        </row>
        <row r="263">
          <cell r="F263">
            <v>16.600000000000001</v>
          </cell>
          <cell r="G263">
            <v>15.27</v>
          </cell>
        </row>
        <row r="264">
          <cell r="F264">
            <v>16.8</v>
          </cell>
          <cell r="G264">
            <v>14.07</v>
          </cell>
        </row>
        <row r="265">
          <cell r="F265">
            <v>17</v>
          </cell>
          <cell r="G265">
            <v>10.57</v>
          </cell>
        </row>
        <row r="266">
          <cell r="F266">
            <v>17.2</v>
          </cell>
          <cell r="G266">
            <v>8.43</v>
          </cell>
        </row>
        <row r="267">
          <cell r="F267">
            <v>17.399999999999999</v>
          </cell>
          <cell r="G267">
            <v>7.93</v>
          </cell>
        </row>
        <row r="268">
          <cell r="F268">
            <v>17.599999999999998</v>
          </cell>
          <cell r="G268">
            <v>6.3</v>
          </cell>
        </row>
        <row r="269">
          <cell r="F269">
            <v>17.8</v>
          </cell>
          <cell r="G269">
            <v>4.87</v>
          </cell>
        </row>
        <row r="270">
          <cell r="F270">
            <v>18</v>
          </cell>
          <cell r="G270">
            <v>3.73</v>
          </cell>
        </row>
        <row r="271">
          <cell r="F271">
            <v>18.2</v>
          </cell>
          <cell r="G271">
            <v>2.33</v>
          </cell>
        </row>
        <row r="272">
          <cell r="F272">
            <v>18.399999999999999</v>
          </cell>
          <cell r="G272">
            <v>2.0299999999999998</v>
          </cell>
        </row>
        <row r="273">
          <cell r="F273">
            <v>18.600000000000001</v>
          </cell>
          <cell r="G273">
            <v>1.93</v>
          </cell>
        </row>
        <row r="274">
          <cell r="F274">
            <v>18.8</v>
          </cell>
          <cell r="G274">
            <v>1.27</v>
          </cell>
        </row>
        <row r="275">
          <cell r="F275">
            <v>19</v>
          </cell>
          <cell r="G275">
            <v>0.63</v>
          </cell>
        </row>
        <row r="276">
          <cell r="F276">
            <v>19.2</v>
          </cell>
          <cell r="G276">
            <v>0.5</v>
          </cell>
        </row>
        <row r="277">
          <cell r="F277">
            <v>19.400000000000002</v>
          </cell>
          <cell r="G277">
            <v>0.13</v>
          </cell>
        </row>
        <row r="278">
          <cell r="F278">
            <v>19.600000000000001</v>
          </cell>
          <cell r="G278">
            <v>0.17</v>
          </cell>
        </row>
        <row r="279">
          <cell r="F279">
            <v>19.8</v>
          </cell>
          <cell r="G279">
            <v>0.03</v>
          </cell>
        </row>
        <row r="280">
          <cell r="F280">
            <v>20</v>
          </cell>
          <cell r="G280">
            <v>0</v>
          </cell>
        </row>
        <row r="281">
          <cell r="F281">
            <v>20.200000000000003</v>
          </cell>
          <cell r="G281">
            <v>0.03</v>
          </cell>
        </row>
        <row r="282">
          <cell r="F282">
            <v>20.399999999999999</v>
          </cell>
          <cell r="G282">
            <v>0</v>
          </cell>
        </row>
        <row r="283">
          <cell r="F283">
            <v>20.599999999999998</v>
          </cell>
          <cell r="G283">
            <v>7.0000000000000007E-2</v>
          </cell>
        </row>
        <row r="284">
          <cell r="F284">
            <v>20.8</v>
          </cell>
          <cell r="G284">
            <v>0</v>
          </cell>
        </row>
        <row r="285">
          <cell r="F285">
            <v>21</v>
          </cell>
          <cell r="G28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M320"/>
  <sheetViews>
    <sheetView tabSelected="1" zoomScale="70" zoomScaleNormal="70" workbookViewId="0">
      <selection activeCell="F39" sqref="F39"/>
    </sheetView>
  </sheetViews>
  <sheetFormatPr defaultRowHeight="15" x14ac:dyDescent="0.25"/>
  <cols>
    <col min="5" max="5" width="53.140625" customWidth="1"/>
    <col min="6" max="6" width="92.85546875" customWidth="1"/>
    <col min="7" max="7" width="48.42578125" customWidth="1"/>
    <col min="8" max="8" width="31.140625" customWidth="1"/>
    <col min="9" max="9" width="38.140625" customWidth="1"/>
    <col min="10" max="10" width="27.42578125" customWidth="1"/>
    <col min="11" max="11" width="31.85546875" customWidth="1"/>
    <col min="12" max="12" width="27.85546875" customWidth="1"/>
    <col min="13" max="13" width="35.28515625" customWidth="1"/>
  </cols>
  <sheetData>
    <row r="1" spans="5:13" ht="22.5" thickTop="1" thickBot="1" x14ac:dyDescent="0.3">
      <c r="E1" s="9" t="s">
        <v>16</v>
      </c>
      <c r="F1" s="10" t="s">
        <v>17</v>
      </c>
    </row>
    <row r="2" spans="5:13" ht="15.75" thickTop="1" x14ac:dyDescent="0.25"/>
    <row r="5" spans="5:13" ht="21" x14ac:dyDescent="0.25">
      <c r="L5" s="1" t="s">
        <v>0</v>
      </c>
      <c r="M5" s="2" t="s">
        <v>1</v>
      </c>
    </row>
    <row r="6" spans="5:13" ht="15.75" thickBot="1" x14ac:dyDescent="0.3">
      <c r="L6" s="3">
        <v>100</v>
      </c>
      <c r="M6" s="3" t="s">
        <v>8</v>
      </c>
    </row>
    <row r="7" spans="5:13" ht="22.5" thickTop="1" thickBot="1" x14ac:dyDescent="0.3">
      <c r="G7" s="4" t="s">
        <v>3</v>
      </c>
      <c r="H7" s="5" t="s">
        <v>4</v>
      </c>
      <c r="I7" s="6" t="s">
        <v>5</v>
      </c>
      <c r="J7" s="7" t="s">
        <v>6</v>
      </c>
      <c r="K7" s="8" t="s">
        <v>7</v>
      </c>
    </row>
    <row r="8" spans="5:13" ht="15.75" thickTop="1" x14ac:dyDescent="0.25">
      <c r="G8">
        <f>(J8/$L$6)*100</f>
        <v>1</v>
      </c>
      <c r="H8">
        <v>100</v>
      </c>
      <c r="I8">
        <f>100-H8</f>
        <v>0</v>
      </c>
      <c r="J8">
        <v>1</v>
      </c>
      <c r="K8">
        <v>1</v>
      </c>
    </row>
    <row r="9" spans="5:13" x14ac:dyDescent="0.25">
      <c r="G9">
        <f t="shared" ref="G9:G49" si="0">(J9/$L$6)*100</f>
        <v>2</v>
      </c>
      <c r="H9">
        <v>100</v>
      </c>
      <c r="I9">
        <f t="shared" ref="I9:I49" si="1">100-H9</f>
        <v>0</v>
      </c>
      <c r="J9">
        <v>2</v>
      </c>
      <c r="K9">
        <v>2</v>
      </c>
    </row>
    <row r="10" spans="5:13" x14ac:dyDescent="0.25">
      <c r="G10">
        <f t="shared" si="0"/>
        <v>3</v>
      </c>
      <c r="H10">
        <v>99.95</v>
      </c>
      <c r="I10">
        <f t="shared" si="1"/>
        <v>4.9999999999997158E-2</v>
      </c>
      <c r="J10">
        <v>3</v>
      </c>
      <c r="K10">
        <v>3</v>
      </c>
    </row>
    <row r="11" spans="5:13" x14ac:dyDescent="0.25">
      <c r="G11">
        <f t="shared" si="0"/>
        <v>4</v>
      </c>
      <c r="H11">
        <v>99.74</v>
      </c>
      <c r="I11">
        <f t="shared" si="1"/>
        <v>0.26000000000000512</v>
      </c>
      <c r="J11">
        <v>4</v>
      </c>
      <c r="K11">
        <v>4</v>
      </c>
    </row>
    <row r="12" spans="5:13" x14ac:dyDescent="0.25">
      <c r="G12">
        <f t="shared" si="0"/>
        <v>5</v>
      </c>
      <c r="H12">
        <v>99.32</v>
      </c>
      <c r="I12">
        <f t="shared" si="1"/>
        <v>0.68000000000000682</v>
      </c>
      <c r="J12">
        <v>5</v>
      </c>
      <c r="K12">
        <v>5</v>
      </c>
    </row>
    <row r="13" spans="5:13" x14ac:dyDescent="0.25">
      <c r="G13">
        <f t="shared" si="0"/>
        <v>6</v>
      </c>
      <c r="H13">
        <v>98.6</v>
      </c>
      <c r="I13">
        <f t="shared" si="1"/>
        <v>1.4000000000000057</v>
      </c>
      <c r="J13">
        <v>6</v>
      </c>
      <c r="K13">
        <v>6</v>
      </c>
    </row>
    <row r="14" spans="5:13" x14ac:dyDescent="0.25">
      <c r="G14">
        <f t="shared" si="0"/>
        <v>7.0000000000000009</v>
      </c>
      <c r="H14">
        <v>97.24</v>
      </c>
      <c r="I14">
        <f t="shared" si="1"/>
        <v>2.7600000000000051</v>
      </c>
      <c r="J14">
        <v>7</v>
      </c>
      <c r="K14">
        <v>7</v>
      </c>
    </row>
    <row r="15" spans="5:13" x14ac:dyDescent="0.25">
      <c r="G15">
        <f t="shared" si="0"/>
        <v>8</v>
      </c>
      <c r="H15">
        <v>95.29</v>
      </c>
      <c r="I15">
        <f t="shared" si="1"/>
        <v>4.7099999999999937</v>
      </c>
      <c r="J15">
        <v>8</v>
      </c>
      <c r="K15">
        <v>8</v>
      </c>
    </row>
    <row r="16" spans="5:13" x14ac:dyDescent="0.25">
      <c r="G16">
        <f t="shared" si="0"/>
        <v>9</v>
      </c>
      <c r="H16">
        <v>92.46</v>
      </c>
      <c r="I16">
        <f t="shared" si="1"/>
        <v>7.5400000000000063</v>
      </c>
      <c r="J16">
        <v>9</v>
      </c>
      <c r="K16">
        <v>9</v>
      </c>
    </row>
    <row r="17" spans="7:11" x14ac:dyDescent="0.25">
      <c r="G17">
        <f t="shared" si="0"/>
        <v>10</v>
      </c>
      <c r="H17">
        <v>88.61</v>
      </c>
      <c r="I17">
        <f t="shared" si="1"/>
        <v>11.39</v>
      </c>
      <c r="J17">
        <v>10</v>
      </c>
      <c r="K17">
        <v>10</v>
      </c>
    </row>
    <row r="18" spans="7:11" x14ac:dyDescent="0.25">
      <c r="G18">
        <f t="shared" si="0"/>
        <v>11</v>
      </c>
      <c r="H18">
        <v>83.52</v>
      </c>
      <c r="I18">
        <f t="shared" si="1"/>
        <v>16.480000000000004</v>
      </c>
      <c r="J18">
        <v>11</v>
      </c>
      <c r="K18">
        <v>11</v>
      </c>
    </row>
    <row r="19" spans="7:11" x14ac:dyDescent="0.25">
      <c r="G19">
        <f t="shared" si="0"/>
        <v>12</v>
      </c>
      <c r="H19">
        <v>77.08</v>
      </c>
      <c r="I19">
        <f t="shared" si="1"/>
        <v>22.92</v>
      </c>
      <c r="J19">
        <v>12</v>
      </c>
      <c r="K19">
        <v>12</v>
      </c>
    </row>
    <row r="20" spans="7:11" x14ac:dyDescent="0.25">
      <c r="G20">
        <f t="shared" si="0"/>
        <v>13</v>
      </c>
      <c r="H20">
        <v>69.89</v>
      </c>
      <c r="I20">
        <f t="shared" si="1"/>
        <v>30.11</v>
      </c>
      <c r="J20">
        <v>13</v>
      </c>
      <c r="K20">
        <v>13</v>
      </c>
    </row>
    <row r="21" spans="7:11" x14ac:dyDescent="0.25">
      <c r="G21">
        <f t="shared" si="0"/>
        <v>14.000000000000002</v>
      </c>
      <c r="H21">
        <v>61.11</v>
      </c>
      <c r="I21">
        <f t="shared" si="1"/>
        <v>38.89</v>
      </c>
      <c r="J21">
        <v>14</v>
      </c>
      <c r="K21">
        <v>14</v>
      </c>
    </row>
    <row r="22" spans="7:11" x14ac:dyDescent="0.25">
      <c r="G22">
        <f t="shared" si="0"/>
        <v>15</v>
      </c>
      <c r="H22">
        <v>52.5</v>
      </c>
      <c r="I22">
        <f t="shared" si="1"/>
        <v>47.5</v>
      </c>
      <c r="J22">
        <v>15</v>
      </c>
      <c r="K22">
        <v>15</v>
      </c>
    </row>
    <row r="23" spans="7:11" x14ac:dyDescent="0.25">
      <c r="G23">
        <f t="shared" si="0"/>
        <v>16</v>
      </c>
      <c r="H23">
        <v>43.35</v>
      </c>
      <c r="I23">
        <f t="shared" si="1"/>
        <v>56.65</v>
      </c>
      <c r="J23">
        <v>16</v>
      </c>
      <c r="K23">
        <v>16</v>
      </c>
    </row>
    <row r="24" spans="7:11" x14ac:dyDescent="0.25">
      <c r="G24">
        <f t="shared" si="0"/>
        <v>17</v>
      </c>
      <c r="H24">
        <v>34.25</v>
      </c>
      <c r="I24">
        <f t="shared" si="1"/>
        <v>65.75</v>
      </c>
      <c r="J24">
        <v>17</v>
      </c>
      <c r="K24">
        <v>17</v>
      </c>
    </row>
    <row r="25" spans="7:11" x14ac:dyDescent="0.25">
      <c r="G25">
        <f t="shared" si="0"/>
        <v>18</v>
      </c>
      <c r="H25">
        <v>26.47</v>
      </c>
      <c r="I25">
        <f t="shared" si="1"/>
        <v>73.53</v>
      </c>
      <c r="J25">
        <v>18</v>
      </c>
      <c r="K25">
        <v>18</v>
      </c>
    </row>
    <row r="26" spans="7:11" x14ac:dyDescent="0.25">
      <c r="G26">
        <f t="shared" si="0"/>
        <v>19</v>
      </c>
      <c r="H26">
        <v>19.55</v>
      </c>
      <c r="I26">
        <f t="shared" si="1"/>
        <v>80.45</v>
      </c>
      <c r="J26">
        <v>19</v>
      </c>
      <c r="K26">
        <v>19</v>
      </c>
    </row>
    <row r="27" spans="7:11" x14ac:dyDescent="0.25">
      <c r="G27">
        <f t="shared" si="0"/>
        <v>20</v>
      </c>
      <c r="H27">
        <v>13.82</v>
      </c>
      <c r="I27">
        <f t="shared" si="1"/>
        <v>86.18</v>
      </c>
      <c r="J27">
        <v>20</v>
      </c>
      <c r="K27">
        <v>20</v>
      </c>
    </row>
    <row r="28" spans="7:11" x14ac:dyDescent="0.25">
      <c r="G28">
        <f t="shared" si="0"/>
        <v>21</v>
      </c>
      <c r="H28">
        <v>9.69</v>
      </c>
      <c r="I28">
        <f t="shared" si="1"/>
        <v>90.31</v>
      </c>
      <c r="J28">
        <v>21</v>
      </c>
      <c r="K28">
        <v>21</v>
      </c>
    </row>
    <row r="29" spans="7:11" x14ac:dyDescent="0.25">
      <c r="G29">
        <f t="shared" si="0"/>
        <v>22</v>
      </c>
      <c r="H29">
        <v>6.37</v>
      </c>
      <c r="I29">
        <f t="shared" si="1"/>
        <v>93.63</v>
      </c>
      <c r="J29">
        <v>22</v>
      </c>
      <c r="K29">
        <v>22</v>
      </c>
    </row>
    <row r="30" spans="7:11" x14ac:dyDescent="0.25">
      <c r="G30">
        <f t="shared" si="0"/>
        <v>23</v>
      </c>
      <c r="H30">
        <v>4</v>
      </c>
      <c r="I30">
        <f t="shared" si="1"/>
        <v>96</v>
      </c>
      <c r="J30">
        <v>23</v>
      </c>
      <c r="K30">
        <v>23</v>
      </c>
    </row>
    <row r="31" spans="7:11" x14ac:dyDescent="0.25">
      <c r="G31">
        <f t="shared" si="0"/>
        <v>24</v>
      </c>
      <c r="H31">
        <v>2.4700000000000002</v>
      </c>
      <c r="I31">
        <f t="shared" si="1"/>
        <v>97.53</v>
      </c>
      <c r="J31">
        <v>24</v>
      </c>
      <c r="K31">
        <v>24</v>
      </c>
    </row>
    <row r="32" spans="7:11" x14ac:dyDescent="0.25">
      <c r="G32">
        <f t="shared" si="0"/>
        <v>25</v>
      </c>
      <c r="H32">
        <v>1.46</v>
      </c>
      <c r="I32">
        <f t="shared" si="1"/>
        <v>98.54</v>
      </c>
      <c r="J32">
        <v>25</v>
      </c>
      <c r="K32">
        <v>25</v>
      </c>
    </row>
    <row r="33" spans="7:13" x14ac:dyDescent="0.25">
      <c r="G33">
        <f t="shared" si="0"/>
        <v>26</v>
      </c>
      <c r="H33">
        <v>0.95</v>
      </c>
      <c r="I33">
        <f t="shared" si="1"/>
        <v>99.05</v>
      </c>
      <c r="J33">
        <v>26</v>
      </c>
      <c r="K33">
        <v>26</v>
      </c>
    </row>
    <row r="34" spans="7:13" x14ac:dyDescent="0.25">
      <c r="G34">
        <f t="shared" si="0"/>
        <v>27</v>
      </c>
      <c r="H34">
        <v>0.52</v>
      </c>
      <c r="I34">
        <f t="shared" si="1"/>
        <v>99.48</v>
      </c>
      <c r="J34">
        <v>27</v>
      </c>
      <c r="K34">
        <v>27</v>
      </c>
    </row>
    <row r="35" spans="7:13" x14ac:dyDescent="0.25">
      <c r="G35">
        <f t="shared" si="0"/>
        <v>28.000000000000004</v>
      </c>
      <c r="H35">
        <v>0.3</v>
      </c>
      <c r="I35">
        <f t="shared" si="1"/>
        <v>99.7</v>
      </c>
      <c r="J35">
        <v>28</v>
      </c>
      <c r="K35">
        <v>28</v>
      </c>
    </row>
    <row r="36" spans="7:13" x14ac:dyDescent="0.25">
      <c r="G36">
        <f t="shared" si="0"/>
        <v>28.999999999999996</v>
      </c>
      <c r="H36">
        <v>0.16</v>
      </c>
      <c r="I36">
        <f t="shared" si="1"/>
        <v>99.84</v>
      </c>
      <c r="J36">
        <v>29</v>
      </c>
      <c r="K36">
        <v>29</v>
      </c>
    </row>
    <row r="37" spans="7:13" x14ac:dyDescent="0.25">
      <c r="G37">
        <f t="shared" si="0"/>
        <v>30</v>
      </c>
      <c r="H37">
        <v>0.1</v>
      </c>
      <c r="I37">
        <f t="shared" si="1"/>
        <v>99.9</v>
      </c>
      <c r="J37">
        <v>30</v>
      </c>
      <c r="K37">
        <v>30</v>
      </c>
    </row>
    <row r="38" spans="7:13" x14ac:dyDescent="0.25">
      <c r="G38">
        <f t="shared" si="0"/>
        <v>31</v>
      </c>
      <c r="H38">
        <v>0.05</v>
      </c>
      <c r="I38">
        <f t="shared" si="1"/>
        <v>99.95</v>
      </c>
      <c r="J38">
        <v>31</v>
      </c>
      <c r="K38">
        <v>31</v>
      </c>
    </row>
    <row r="39" spans="7:13" x14ac:dyDescent="0.25">
      <c r="G39">
        <f t="shared" si="0"/>
        <v>32</v>
      </c>
      <c r="H39">
        <v>0.02</v>
      </c>
      <c r="I39">
        <f t="shared" si="1"/>
        <v>99.98</v>
      </c>
      <c r="J39">
        <v>32</v>
      </c>
      <c r="K39">
        <v>32</v>
      </c>
    </row>
    <row r="40" spans="7:13" x14ac:dyDescent="0.25">
      <c r="G40">
        <f t="shared" si="0"/>
        <v>33</v>
      </c>
      <c r="H40">
        <v>0.01</v>
      </c>
      <c r="I40">
        <f t="shared" si="1"/>
        <v>99.99</v>
      </c>
      <c r="J40">
        <v>33</v>
      </c>
      <c r="K40">
        <v>33</v>
      </c>
    </row>
    <row r="41" spans="7:13" x14ac:dyDescent="0.25">
      <c r="G41">
        <f t="shared" si="0"/>
        <v>34</v>
      </c>
      <c r="H41">
        <v>0</v>
      </c>
      <c r="I41">
        <f t="shared" si="1"/>
        <v>100</v>
      </c>
      <c r="J41">
        <v>34</v>
      </c>
      <c r="K41">
        <v>34</v>
      </c>
    </row>
    <row r="42" spans="7:13" x14ac:dyDescent="0.25">
      <c r="G42">
        <f t="shared" si="0"/>
        <v>35</v>
      </c>
      <c r="H42">
        <v>0.01</v>
      </c>
      <c r="I42">
        <f t="shared" si="1"/>
        <v>99.99</v>
      </c>
      <c r="J42">
        <v>35</v>
      </c>
      <c r="K42">
        <v>35</v>
      </c>
    </row>
    <row r="43" spans="7:13" x14ac:dyDescent="0.25">
      <c r="G43">
        <f t="shared" si="0"/>
        <v>36</v>
      </c>
      <c r="H43">
        <v>0</v>
      </c>
      <c r="I43">
        <f t="shared" si="1"/>
        <v>100</v>
      </c>
      <c r="J43">
        <v>36</v>
      </c>
      <c r="K43">
        <v>36</v>
      </c>
    </row>
    <row r="46" spans="7:13" ht="21" x14ac:dyDescent="0.25">
      <c r="L46" s="1" t="s">
        <v>0</v>
      </c>
      <c r="M46" s="2" t="s">
        <v>1</v>
      </c>
    </row>
    <row r="47" spans="7:13" ht="15.75" thickBot="1" x14ac:dyDescent="0.3">
      <c r="L47" s="3">
        <v>225</v>
      </c>
      <c r="M47" s="3" t="s">
        <v>9</v>
      </c>
    </row>
    <row r="48" spans="7:13" ht="22.5" thickTop="1" thickBot="1" x14ac:dyDescent="0.3">
      <c r="G48" s="4" t="s">
        <v>3</v>
      </c>
      <c r="H48" s="5" t="s">
        <v>4</v>
      </c>
      <c r="I48" s="6" t="s">
        <v>5</v>
      </c>
      <c r="J48" s="7" t="s">
        <v>6</v>
      </c>
      <c r="K48" s="8" t="s">
        <v>7</v>
      </c>
    </row>
    <row r="49" spans="7:11" ht="15.75" thickTop="1" x14ac:dyDescent="0.25">
      <c r="G49">
        <f>(J49/$L$47)*100</f>
        <v>4.4444444444444446</v>
      </c>
      <c r="H49">
        <v>99.26</v>
      </c>
      <c r="I49">
        <f>100-H49</f>
        <v>0.73999999999999488</v>
      </c>
      <c r="J49">
        <v>10</v>
      </c>
      <c r="K49">
        <v>1</v>
      </c>
    </row>
    <row r="50" spans="7:11" x14ac:dyDescent="0.25">
      <c r="G50">
        <f t="shared" ref="G50:G73" si="2">(J50/$L$47)*100</f>
        <v>6.666666666666667</v>
      </c>
      <c r="H50">
        <v>97.11</v>
      </c>
      <c r="I50">
        <f t="shared" ref="I50:I73" si="3">100-H50</f>
        <v>2.8900000000000006</v>
      </c>
      <c r="J50">
        <v>15</v>
      </c>
      <c r="K50">
        <v>2</v>
      </c>
    </row>
    <row r="51" spans="7:11" x14ac:dyDescent="0.25">
      <c r="G51">
        <f t="shared" si="2"/>
        <v>8.8888888888888893</v>
      </c>
      <c r="H51">
        <v>91.59</v>
      </c>
      <c r="I51">
        <f t="shared" si="3"/>
        <v>8.4099999999999966</v>
      </c>
      <c r="J51">
        <v>20</v>
      </c>
      <c r="K51">
        <v>3</v>
      </c>
    </row>
    <row r="52" spans="7:11" x14ac:dyDescent="0.25">
      <c r="G52">
        <f t="shared" si="2"/>
        <v>11.111111111111111</v>
      </c>
      <c r="H52">
        <v>80.55</v>
      </c>
      <c r="I52">
        <f t="shared" si="3"/>
        <v>19.450000000000003</v>
      </c>
      <c r="J52">
        <v>25</v>
      </c>
      <c r="K52">
        <v>4</v>
      </c>
    </row>
    <row r="53" spans="7:11" x14ac:dyDescent="0.25">
      <c r="G53">
        <f t="shared" si="2"/>
        <v>13.333333333333334</v>
      </c>
      <c r="H53">
        <v>63.46</v>
      </c>
      <c r="I53">
        <f t="shared" si="3"/>
        <v>36.54</v>
      </c>
      <c r="J53">
        <v>30</v>
      </c>
      <c r="K53">
        <v>5</v>
      </c>
    </row>
    <row r="54" spans="7:11" x14ac:dyDescent="0.25">
      <c r="G54">
        <f t="shared" si="2"/>
        <v>15.555555555555555</v>
      </c>
      <c r="H54">
        <v>40.340000000000003</v>
      </c>
      <c r="I54">
        <f t="shared" si="3"/>
        <v>59.66</v>
      </c>
      <c r="J54">
        <v>35</v>
      </c>
      <c r="K54">
        <v>6</v>
      </c>
    </row>
    <row r="55" spans="7:11" x14ac:dyDescent="0.25">
      <c r="G55">
        <f t="shared" si="2"/>
        <v>17.777777777777779</v>
      </c>
      <c r="H55">
        <v>18.690000000000001</v>
      </c>
      <c r="I55">
        <f t="shared" si="3"/>
        <v>81.31</v>
      </c>
      <c r="J55">
        <v>40</v>
      </c>
      <c r="K55">
        <v>7</v>
      </c>
    </row>
    <row r="56" spans="7:11" x14ac:dyDescent="0.25">
      <c r="G56">
        <f t="shared" si="2"/>
        <v>20</v>
      </c>
      <c r="H56">
        <v>5.87</v>
      </c>
      <c r="I56">
        <f t="shared" si="3"/>
        <v>94.13</v>
      </c>
      <c r="J56">
        <v>45</v>
      </c>
      <c r="K56">
        <v>8</v>
      </c>
    </row>
    <row r="57" spans="7:11" x14ac:dyDescent="0.25">
      <c r="G57">
        <f t="shared" si="2"/>
        <v>22.222222222222221</v>
      </c>
      <c r="H57">
        <v>1.21</v>
      </c>
      <c r="I57">
        <f t="shared" si="3"/>
        <v>98.79</v>
      </c>
      <c r="J57">
        <v>50</v>
      </c>
      <c r="K57">
        <v>9</v>
      </c>
    </row>
    <row r="58" spans="7:11" x14ac:dyDescent="0.25">
      <c r="G58">
        <f t="shared" si="2"/>
        <v>24.444444444444443</v>
      </c>
      <c r="H58">
        <v>0.13</v>
      </c>
      <c r="I58">
        <f t="shared" si="3"/>
        <v>99.87</v>
      </c>
      <c r="J58">
        <v>55</v>
      </c>
      <c r="K58">
        <v>10</v>
      </c>
    </row>
    <row r="59" spans="7:11" x14ac:dyDescent="0.25">
      <c r="G59">
        <f t="shared" si="2"/>
        <v>26.666666666666668</v>
      </c>
      <c r="H59">
        <v>0.01</v>
      </c>
      <c r="I59">
        <f t="shared" si="3"/>
        <v>99.99</v>
      </c>
      <c r="J59">
        <v>60</v>
      </c>
      <c r="K59">
        <v>11</v>
      </c>
    </row>
    <row r="60" spans="7:11" x14ac:dyDescent="0.25">
      <c r="G60">
        <f t="shared" si="2"/>
        <v>28.888888888888886</v>
      </c>
      <c r="H60">
        <v>0</v>
      </c>
      <c r="I60">
        <f t="shared" si="3"/>
        <v>100</v>
      </c>
      <c r="J60">
        <v>65</v>
      </c>
      <c r="K60">
        <v>12</v>
      </c>
    </row>
    <row r="61" spans="7:11" x14ac:dyDescent="0.25">
      <c r="G61">
        <f t="shared" si="2"/>
        <v>31.111111111111111</v>
      </c>
      <c r="H61">
        <v>0</v>
      </c>
      <c r="I61">
        <f t="shared" si="3"/>
        <v>100</v>
      </c>
      <c r="J61">
        <v>70</v>
      </c>
      <c r="K61">
        <v>13</v>
      </c>
    </row>
    <row r="62" spans="7:11" x14ac:dyDescent="0.25">
      <c r="G62">
        <f t="shared" si="2"/>
        <v>33.333333333333329</v>
      </c>
      <c r="H62">
        <v>0</v>
      </c>
      <c r="I62">
        <f t="shared" si="3"/>
        <v>100</v>
      </c>
      <c r="J62">
        <v>75</v>
      </c>
      <c r="K62">
        <v>14</v>
      </c>
    </row>
    <row r="63" spans="7:11" x14ac:dyDescent="0.25">
      <c r="G63">
        <f t="shared" si="2"/>
        <v>35.555555555555557</v>
      </c>
      <c r="H63">
        <v>0</v>
      </c>
      <c r="I63">
        <f t="shared" si="3"/>
        <v>100</v>
      </c>
      <c r="J63">
        <v>80</v>
      </c>
      <c r="K63">
        <v>15</v>
      </c>
    </row>
    <row r="64" spans="7:11" x14ac:dyDescent="0.25">
      <c r="G64">
        <f t="shared" si="2"/>
        <v>37.777777777777779</v>
      </c>
      <c r="H64">
        <v>0</v>
      </c>
      <c r="I64">
        <f t="shared" si="3"/>
        <v>100</v>
      </c>
      <c r="J64">
        <v>85</v>
      </c>
      <c r="K64">
        <v>16</v>
      </c>
    </row>
    <row r="65" spans="7:13" x14ac:dyDescent="0.25">
      <c r="G65">
        <f t="shared" si="2"/>
        <v>40</v>
      </c>
      <c r="H65">
        <v>0</v>
      </c>
      <c r="I65">
        <f t="shared" si="3"/>
        <v>100</v>
      </c>
      <c r="J65">
        <v>90</v>
      </c>
      <c r="K65">
        <v>17</v>
      </c>
    </row>
    <row r="66" spans="7:13" x14ac:dyDescent="0.25">
      <c r="G66">
        <f t="shared" si="2"/>
        <v>42.222222222222221</v>
      </c>
      <c r="H66">
        <v>0</v>
      </c>
      <c r="I66">
        <f t="shared" si="3"/>
        <v>100</v>
      </c>
      <c r="J66">
        <v>95</v>
      </c>
      <c r="K66">
        <v>18</v>
      </c>
    </row>
    <row r="69" spans="7:13" ht="21" x14ac:dyDescent="0.25">
      <c r="L69" s="1" t="s">
        <v>0</v>
      </c>
      <c r="M69" s="2" t="s">
        <v>1</v>
      </c>
    </row>
    <row r="70" spans="7:13" ht="15.75" thickBot="1" x14ac:dyDescent="0.3">
      <c r="L70" s="3">
        <v>400</v>
      </c>
      <c r="M70" s="3" t="s">
        <v>10</v>
      </c>
    </row>
    <row r="71" spans="7:13" ht="22.5" thickTop="1" thickBot="1" x14ac:dyDescent="0.3">
      <c r="G71" s="4" t="s">
        <v>3</v>
      </c>
      <c r="H71" s="5" t="s">
        <v>4</v>
      </c>
      <c r="I71" s="6" t="s">
        <v>5</v>
      </c>
      <c r="J71" s="7" t="s">
        <v>6</v>
      </c>
      <c r="K71" s="8" t="s">
        <v>7</v>
      </c>
    </row>
    <row r="72" spans="7:13" ht="15.75" thickTop="1" x14ac:dyDescent="0.25">
      <c r="G72">
        <f>(J72/$L$70)*100</f>
        <v>2.5</v>
      </c>
      <c r="H72">
        <v>99.89</v>
      </c>
      <c r="I72">
        <f>100-H72</f>
        <v>0.10999999999999943</v>
      </c>
      <c r="J72">
        <v>10</v>
      </c>
      <c r="K72">
        <v>1</v>
      </c>
    </row>
    <row r="73" spans="7:13" x14ac:dyDescent="0.25">
      <c r="G73">
        <f t="shared" ref="G73:G95" si="4">(J73/$L$70)*100</f>
        <v>3.75</v>
      </c>
      <c r="H73">
        <v>99.54</v>
      </c>
      <c r="I73">
        <f t="shared" ref="I73:I95" si="5">100-H73</f>
        <v>0.45999999999999375</v>
      </c>
      <c r="J73">
        <v>15</v>
      </c>
      <c r="K73">
        <v>2</v>
      </c>
    </row>
    <row r="74" spans="7:13" x14ac:dyDescent="0.25">
      <c r="G74">
        <f t="shared" si="4"/>
        <v>5</v>
      </c>
      <c r="H74">
        <v>98.81</v>
      </c>
      <c r="I74">
        <f t="shared" si="5"/>
        <v>1.1899999999999977</v>
      </c>
      <c r="J74">
        <v>20</v>
      </c>
      <c r="K74">
        <v>3</v>
      </c>
    </row>
    <row r="75" spans="7:13" x14ac:dyDescent="0.25">
      <c r="G75">
        <f t="shared" si="4"/>
        <v>6.25</v>
      </c>
      <c r="H75">
        <v>97.36</v>
      </c>
      <c r="I75">
        <f t="shared" si="5"/>
        <v>2.6400000000000006</v>
      </c>
      <c r="J75">
        <v>25</v>
      </c>
      <c r="K75">
        <v>4</v>
      </c>
    </row>
    <row r="76" spans="7:13" x14ac:dyDescent="0.25">
      <c r="G76">
        <f t="shared" si="4"/>
        <v>7.5</v>
      </c>
      <c r="H76">
        <v>94.87</v>
      </c>
      <c r="I76">
        <f t="shared" si="5"/>
        <v>5.1299999999999955</v>
      </c>
      <c r="J76">
        <v>30</v>
      </c>
      <c r="K76">
        <v>5</v>
      </c>
    </row>
    <row r="77" spans="7:13" x14ac:dyDescent="0.25">
      <c r="G77">
        <f t="shared" si="4"/>
        <v>8.75</v>
      </c>
      <c r="H77">
        <v>91.08</v>
      </c>
      <c r="I77">
        <f t="shared" si="5"/>
        <v>8.9200000000000017</v>
      </c>
      <c r="J77">
        <v>35</v>
      </c>
      <c r="K77">
        <v>6</v>
      </c>
    </row>
    <row r="78" spans="7:13" x14ac:dyDescent="0.25">
      <c r="G78">
        <f t="shared" si="4"/>
        <v>10</v>
      </c>
      <c r="H78">
        <v>85.33</v>
      </c>
      <c r="I78">
        <f t="shared" si="5"/>
        <v>14.670000000000002</v>
      </c>
      <c r="J78">
        <v>40</v>
      </c>
      <c r="K78">
        <v>7</v>
      </c>
    </row>
    <row r="79" spans="7:13" x14ac:dyDescent="0.25">
      <c r="G79">
        <f t="shared" si="4"/>
        <v>11.25</v>
      </c>
      <c r="H79">
        <v>77.569999999999993</v>
      </c>
      <c r="I79">
        <f t="shared" si="5"/>
        <v>22.430000000000007</v>
      </c>
      <c r="J79">
        <v>45</v>
      </c>
      <c r="K79">
        <v>8</v>
      </c>
    </row>
    <row r="80" spans="7:13" x14ac:dyDescent="0.25">
      <c r="G80">
        <f t="shared" si="4"/>
        <v>12.5</v>
      </c>
      <c r="H80">
        <v>67.489999999999995</v>
      </c>
      <c r="I80">
        <f t="shared" si="5"/>
        <v>32.510000000000005</v>
      </c>
      <c r="J80">
        <v>50</v>
      </c>
      <c r="K80">
        <v>9</v>
      </c>
    </row>
    <row r="81" spans="7:11" x14ac:dyDescent="0.25">
      <c r="G81">
        <f t="shared" si="4"/>
        <v>13.750000000000002</v>
      </c>
      <c r="H81">
        <v>55.42</v>
      </c>
      <c r="I81">
        <f t="shared" si="5"/>
        <v>44.58</v>
      </c>
      <c r="J81">
        <v>55</v>
      </c>
      <c r="K81">
        <v>10</v>
      </c>
    </row>
    <row r="82" spans="7:11" x14ac:dyDescent="0.25">
      <c r="G82">
        <f t="shared" si="4"/>
        <v>15</v>
      </c>
      <c r="H82">
        <v>41.66</v>
      </c>
      <c r="I82">
        <f t="shared" si="5"/>
        <v>58.34</v>
      </c>
      <c r="J82">
        <v>60</v>
      </c>
      <c r="K82">
        <v>11</v>
      </c>
    </row>
    <row r="83" spans="7:11" x14ac:dyDescent="0.25">
      <c r="G83">
        <f t="shared" si="4"/>
        <v>16.25</v>
      </c>
      <c r="H83">
        <v>27.49</v>
      </c>
      <c r="I83">
        <f t="shared" si="5"/>
        <v>72.510000000000005</v>
      </c>
      <c r="J83">
        <v>65</v>
      </c>
      <c r="K83">
        <v>12</v>
      </c>
    </row>
    <row r="84" spans="7:11" x14ac:dyDescent="0.25">
      <c r="G84">
        <f t="shared" si="4"/>
        <v>17.5</v>
      </c>
      <c r="H84">
        <v>15.74</v>
      </c>
      <c r="I84">
        <f t="shared" si="5"/>
        <v>84.26</v>
      </c>
      <c r="J84">
        <v>70</v>
      </c>
      <c r="K84">
        <v>13</v>
      </c>
    </row>
    <row r="85" spans="7:11" x14ac:dyDescent="0.25">
      <c r="G85">
        <f t="shared" si="4"/>
        <v>18.75</v>
      </c>
      <c r="H85">
        <v>7.2</v>
      </c>
      <c r="I85">
        <f t="shared" si="5"/>
        <v>92.8</v>
      </c>
      <c r="J85">
        <v>75</v>
      </c>
      <c r="K85">
        <v>14</v>
      </c>
    </row>
    <row r="86" spans="7:11" x14ac:dyDescent="0.25">
      <c r="G86">
        <f t="shared" si="4"/>
        <v>20</v>
      </c>
      <c r="H86">
        <v>2.4500000000000002</v>
      </c>
      <c r="I86">
        <f t="shared" si="5"/>
        <v>97.55</v>
      </c>
      <c r="J86">
        <v>80</v>
      </c>
      <c r="K86">
        <v>15</v>
      </c>
    </row>
    <row r="87" spans="7:11" x14ac:dyDescent="0.25">
      <c r="G87">
        <f t="shared" si="4"/>
        <v>21.25</v>
      </c>
      <c r="H87">
        <v>0.73</v>
      </c>
      <c r="I87">
        <f t="shared" si="5"/>
        <v>99.27</v>
      </c>
      <c r="J87">
        <v>85</v>
      </c>
      <c r="K87">
        <v>16</v>
      </c>
    </row>
    <row r="88" spans="7:11" x14ac:dyDescent="0.25">
      <c r="G88">
        <f t="shared" si="4"/>
        <v>22.5</v>
      </c>
      <c r="H88">
        <v>0.19</v>
      </c>
      <c r="I88">
        <f t="shared" si="5"/>
        <v>99.81</v>
      </c>
      <c r="J88">
        <v>90</v>
      </c>
      <c r="K88">
        <v>17</v>
      </c>
    </row>
    <row r="89" spans="7:11" x14ac:dyDescent="0.25">
      <c r="G89">
        <f t="shared" si="4"/>
        <v>23.75</v>
      </c>
      <c r="H89">
        <v>0.03</v>
      </c>
      <c r="I89">
        <f t="shared" si="5"/>
        <v>99.97</v>
      </c>
      <c r="J89">
        <v>95</v>
      </c>
      <c r="K89">
        <v>18</v>
      </c>
    </row>
    <row r="90" spans="7:11" x14ac:dyDescent="0.25">
      <c r="G90">
        <f t="shared" si="4"/>
        <v>25</v>
      </c>
      <c r="H90">
        <v>0.01</v>
      </c>
      <c r="I90">
        <f t="shared" si="5"/>
        <v>99.99</v>
      </c>
      <c r="J90">
        <v>100</v>
      </c>
      <c r="K90">
        <v>19</v>
      </c>
    </row>
    <row r="91" spans="7:11" x14ac:dyDescent="0.25">
      <c r="G91">
        <f t="shared" si="4"/>
        <v>26.25</v>
      </c>
      <c r="H91">
        <v>0</v>
      </c>
      <c r="I91">
        <f t="shared" si="5"/>
        <v>100</v>
      </c>
      <c r="J91">
        <v>105</v>
      </c>
      <c r="K91">
        <v>20</v>
      </c>
    </row>
    <row r="92" spans="7:11" x14ac:dyDescent="0.25">
      <c r="G92">
        <f t="shared" si="4"/>
        <v>27.500000000000004</v>
      </c>
      <c r="H92">
        <v>0</v>
      </c>
      <c r="I92">
        <f t="shared" si="5"/>
        <v>100</v>
      </c>
      <c r="J92">
        <v>110</v>
      </c>
      <c r="K92">
        <v>21</v>
      </c>
    </row>
    <row r="93" spans="7:11" x14ac:dyDescent="0.25">
      <c r="G93">
        <f t="shared" si="4"/>
        <v>28.749999999999996</v>
      </c>
      <c r="H93">
        <v>0</v>
      </c>
      <c r="I93">
        <f t="shared" si="5"/>
        <v>100</v>
      </c>
      <c r="J93">
        <v>115</v>
      </c>
      <c r="K93">
        <v>22</v>
      </c>
    </row>
    <row r="94" spans="7:11" x14ac:dyDescent="0.25">
      <c r="G94">
        <f t="shared" si="4"/>
        <v>30</v>
      </c>
      <c r="H94">
        <v>0</v>
      </c>
      <c r="I94">
        <f t="shared" si="5"/>
        <v>100</v>
      </c>
      <c r="J94">
        <v>120</v>
      </c>
      <c r="K94">
        <v>23</v>
      </c>
    </row>
    <row r="95" spans="7:11" x14ac:dyDescent="0.25">
      <c r="G95">
        <f t="shared" si="4"/>
        <v>31.25</v>
      </c>
      <c r="H95">
        <v>0</v>
      </c>
      <c r="I95">
        <f t="shared" si="5"/>
        <v>100</v>
      </c>
      <c r="J95">
        <v>125</v>
      </c>
      <c r="K95">
        <v>24</v>
      </c>
    </row>
    <row r="98" spans="7:13" ht="21" x14ac:dyDescent="0.25">
      <c r="L98" s="1" t="s">
        <v>0</v>
      </c>
      <c r="M98" s="2" t="s">
        <v>1</v>
      </c>
    </row>
    <row r="99" spans="7:13" ht="15.75" thickBot="1" x14ac:dyDescent="0.3">
      <c r="L99" s="3">
        <v>625</v>
      </c>
      <c r="M99" s="3" t="s">
        <v>11</v>
      </c>
    </row>
    <row r="100" spans="7:13" ht="22.5" thickTop="1" thickBot="1" x14ac:dyDescent="0.3">
      <c r="G100" s="4" t="s">
        <v>3</v>
      </c>
      <c r="H100" s="5" t="s">
        <v>4</v>
      </c>
      <c r="I100" s="6" t="s">
        <v>5</v>
      </c>
      <c r="J100" s="7" t="s">
        <v>6</v>
      </c>
      <c r="K100" s="8" t="s">
        <v>7</v>
      </c>
    </row>
    <row r="101" spans="7:13" ht="15.75" thickTop="1" x14ac:dyDescent="0.25">
      <c r="G101">
        <f>(J101/$L$99)*100</f>
        <v>7.1999999999999993</v>
      </c>
      <c r="H101">
        <v>95.2</v>
      </c>
      <c r="I101">
        <f>100-H101</f>
        <v>4.7999999999999972</v>
      </c>
      <c r="J101">
        <v>45</v>
      </c>
      <c r="K101">
        <v>1</v>
      </c>
    </row>
    <row r="102" spans="7:13" x14ac:dyDescent="0.25">
      <c r="G102">
        <f t="shared" ref="G102:G121" si="6">(J102/$L$99)*100</f>
        <v>8</v>
      </c>
      <c r="H102">
        <v>92.5</v>
      </c>
      <c r="I102">
        <f t="shared" ref="I102:I124" si="7">100-H102</f>
        <v>7.5</v>
      </c>
      <c r="J102">
        <v>50</v>
      </c>
      <c r="K102">
        <v>2</v>
      </c>
    </row>
    <row r="103" spans="7:13" x14ac:dyDescent="0.25">
      <c r="G103">
        <f t="shared" si="6"/>
        <v>8.7999999999999989</v>
      </c>
      <c r="H103">
        <v>89.52</v>
      </c>
      <c r="I103">
        <f t="shared" si="7"/>
        <v>10.480000000000004</v>
      </c>
      <c r="J103">
        <v>55</v>
      </c>
      <c r="K103">
        <v>3</v>
      </c>
    </row>
    <row r="104" spans="7:13" x14ac:dyDescent="0.25">
      <c r="G104">
        <f t="shared" si="6"/>
        <v>9.6</v>
      </c>
      <c r="H104">
        <v>86.14</v>
      </c>
      <c r="I104">
        <f t="shared" si="7"/>
        <v>13.86</v>
      </c>
      <c r="J104">
        <v>60</v>
      </c>
      <c r="K104">
        <v>4</v>
      </c>
    </row>
    <row r="105" spans="7:13" x14ac:dyDescent="0.25">
      <c r="G105">
        <f t="shared" si="6"/>
        <v>10.4</v>
      </c>
      <c r="H105">
        <v>81.92</v>
      </c>
      <c r="I105">
        <f t="shared" si="7"/>
        <v>18.079999999999998</v>
      </c>
      <c r="J105">
        <v>65</v>
      </c>
      <c r="K105">
        <v>5</v>
      </c>
    </row>
    <row r="106" spans="7:13" x14ac:dyDescent="0.25">
      <c r="G106">
        <f t="shared" si="6"/>
        <v>11.200000000000001</v>
      </c>
      <c r="H106">
        <v>76.81</v>
      </c>
      <c r="I106">
        <f t="shared" si="7"/>
        <v>23.189999999999998</v>
      </c>
      <c r="J106">
        <v>70</v>
      </c>
      <c r="K106">
        <v>6</v>
      </c>
    </row>
    <row r="107" spans="7:13" x14ac:dyDescent="0.25">
      <c r="G107">
        <f t="shared" si="6"/>
        <v>12</v>
      </c>
      <c r="H107">
        <v>70.260000000000005</v>
      </c>
      <c r="I107">
        <f t="shared" si="7"/>
        <v>29.739999999999995</v>
      </c>
      <c r="J107">
        <v>75</v>
      </c>
      <c r="K107">
        <v>7</v>
      </c>
    </row>
    <row r="108" spans="7:13" x14ac:dyDescent="0.25">
      <c r="G108">
        <f t="shared" si="6"/>
        <v>12.8</v>
      </c>
      <c r="H108">
        <v>62.15</v>
      </c>
      <c r="I108">
        <f t="shared" si="7"/>
        <v>37.85</v>
      </c>
      <c r="J108">
        <v>80</v>
      </c>
      <c r="K108">
        <v>8</v>
      </c>
    </row>
    <row r="109" spans="7:13" x14ac:dyDescent="0.25">
      <c r="G109">
        <f t="shared" si="6"/>
        <v>13.600000000000001</v>
      </c>
      <c r="H109">
        <v>54.37</v>
      </c>
      <c r="I109">
        <f t="shared" si="7"/>
        <v>45.63</v>
      </c>
      <c r="J109">
        <v>85</v>
      </c>
      <c r="K109">
        <v>9</v>
      </c>
    </row>
    <row r="110" spans="7:13" x14ac:dyDescent="0.25">
      <c r="G110">
        <f t="shared" si="6"/>
        <v>14.399999999999999</v>
      </c>
      <c r="H110">
        <v>44.79</v>
      </c>
      <c r="I110">
        <f t="shared" si="7"/>
        <v>55.21</v>
      </c>
      <c r="J110">
        <v>90</v>
      </c>
      <c r="K110">
        <v>10</v>
      </c>
    </row>
    <row r="111" spans="7:13" x14ac:dyDescent="0.25">
      <c r="G111">
        <f t="shared" si="6"/>
        <v>15.2</v>
      </c>
      <c r="H111">
        <v>35.479999999999997</v>
      </c>
      <c r="I111">
        <f t="shared" si="7"/>
        <v>64.52000000000001</v>
      </c>
      <c r="J111">
        <v>95</v>
      </c>
      <c r="K111">
        <v>11</v>
      </c>
    </row>
    <row r="112" spans="7:13" x14ac:dyDescent="0.25">
      <c r="G112">
        <f t="shared" si="6"/>
        <v>16</v>
      </c>
      <c r="H112">
        <v>26.12</v>
      </c>
      <c r="I112">
        <f t="shared" si="7"/>
        <v>73.88</v>
      </c>
      <c r="J112">
        <v>100</v>
      </c>
      <c r="K112">
        <v>12</v>
      </c>
    </row>
    <row r="113" spans="7:13" x14ac:dyDescent="0.25">
      <c r="G113">
        <f t="shared" si="6"/>
        <v>16.8</v>
      </c>
      <c r="H113">
        <v>17.71</v>
      </c>
      <c r="I113">
        <f t="shared" si="7"/>
        <v>82.289999999999992</v>
      </c>
      <c r="J113">
        <v>105</v>
      </c>
      <c r="K113">
        <v>13</v>
      </c>
    </row>
    <row r="114" spans="7:13" x14ac:dyDescent="0.25">
      <c r="G114">
        <f t="shared" si="6"/>
        <v>17.599999999999998</v>
      </c>
      <c r="H114">
        <v>10.93</v>
      </c>
      <c r="I114">
        <f t="shared" si="7"/>
        <v>89.07</v>
      </c>
      <c r="J114">
        <v>110</v>
      </c>
      <c r="K114">
        <v>14</v>
      </c>
    </row>
    <row r="115" spans="7:13" x14ac:dyDescent="0.25">
      <c r="G115">
        <f t="shared" si="6"/>
        <v>18.399999999999999</v>
      </c>
      <c r="H115">
        <v>6.13</v>
      </c>
      <c r="I115">
        <f t="shared" si="7"/>
        <v>93.87</v>
      </c>
      <c r="J115">
        <v>115</v>
      </c>
      <c r="K115">
        <v>15</v>
      </c>
    </row>
    <row r="116" spans="7:13" x14ac:dyDescent="0.25">
      <c r="G116">
        <f t="shared" si="6"/>
        <v>19.2</v>
      </c>
      <c r="H116">
        <v>2.84</v>
      </c>
      <c r="I116">
        <f t="shared" si="7"/>
        <v>97.16</v>
      </c>
      <c r="J116">
        <v>120</v>
      </c>
      <c r="K116">
        <v>16</v>
      </c>
    </row>
    <row r="117" spans="7:13" x14ac:dyDescent="0.25">
      <c r="G117">
        <f t="shared" si="6"/>
        <v>20</v>
      </c>
      <c r="H117">
        <v>1.43</v>
      </c>
      <c r="I117">
        <f t="shared" si="7"/>
        <v>98.57</v>
      </c>
      <c r="J117">
        <v>125</v>
      </c>
      <c r="K117">
        <v>17</v>
      </c>
    </row>
    <row r="118" spans="7:13" x14ac:dyDescent="0.25">
      <c r="G118">
        <f t="shared" si="6"/>
        <v>20.8</v>
      </c>
      <c r="H118">
        <v>0.42</v>
      </c>
      <c r="I118">
        <f t="shared" si="7"/>
        <v>99.58</v>
      </c>
      <c r="J118">
        <v>130</v>
      </c>
      <c r="K118">
        <v>18</v>
      </c>
    </row>
    <row r="119" spans="7:13" x14ac:dyDescent="0.25">
      <c r="G119">
        <f t="shared" si="6"/>
        <v>21.6</v>
      </c>
      <c r="H119">
        <v>0.15</v>
      </c>
      <c r="I119">
        <f t="shared" si="7"/>
        <v>99.85</v>
      </c>
      <c r="J119">
        <v>135</v>
      </c>
      <c r="K119">
        <v>19</v>
      </c>
    </row>
    <row r="120" spans="7:13" x14ac:dyDescent="0.25">
      <c r="G120">
        <f t="shared" si="6"/>
        <v>22.400000000000002</v>
      </c>
      <c r="H120">
        <v>0.04</v>
      </c>
      <c r="I120">
        <f t="shared" si="7"/>
        <v>99.96</v>
      </c>
      <c r="J120">
        <v>140</v>
      </c>
      <c r="K120">
        <v>20</v>
      </c>
    </row>
    <row r="121" spans="7:13" x14ac:dyDescent="0.25">
      <c r="G121">
        <f t="shared" si="6"/>
        <v>23.200000000000003</v>
      </c>
      <c r="H121">
        <v>0.01</v>
      </c>
      <c r="I121">
        <f t="shared" si="7"/>
        <v>99.99</v>
      </c>
      <c r="J121">
        <v>145</v>
      </c>
      <c r="K121">
        <v>21</v>
      </c>
    </row>
    <row r="124" spans="7:13" ht="21" x14ac:dyDescent="0.25">
      <c r="L124" s="1" t="s">
        <v>0</v>
      </c>
      <c r="M124" s="2" t="s">
        <v>1</v>
      </c>
    </row>
    <row r="125" spans="7:13" ht="15.75" thickBot="1" x14ac:dyDescent="0.3">
      <c r="L125" s="3">
        <v>900</v>
      </c>
      <c r="M125" s="3" t="s">
        <v>2</v>
      </c>
    </row>
    <row r="126" spans="7:13" ht="22.5" thickTop="1" thickBot="1" x14ac:dyDescent="0.3">
      <c r="G126" s="4" t="s">
        <v>3</v>
      </c>
      <c r="H126" s="5" t="s">
        <v>4</v>
      </c>
      <c r="I126" s="6" t="s">
        <v>5</v>
      </c>
      <c r="J126" s="7" t="s">
        <v>6</v>
      </c>
      <c r="K126" s="8" t="s">
        <v>7</v>
      </c>
    </row>
    <row r="127" spans="7:13" ht="15.75" thickTop="1" x14ac:dyDescent="0.25">
      <c r="G127">
        <f>(J127/$L$125)*100</f>
        <v>2.5555555555555558</v>
      </c>
      <c r="H127">
        <v>99.83</v>
      </c>
      <c r="I127">
        <f>100-H127</f>
        <v>0.17000000000000171</v>
      </c>
      <c r="J127">
        <v>23</v>
      </c>
      <c r="K127">
        <v>1</v>
      </c>
    </row>
    <row r="128" spans="7:13" x14ac:dyDescent="0.25">
      <c r="G128">
        <f t="shared" ref="G128:G178" si="8">(J128/$L$125)*100</f>
        <v>3.1111111111111112</v>
      </c>
      <c r="H128">
        <v>99.67</v>
      </c>
      <c r="I128">
        <f t="shared" ref="I128:I178" si="9">100-H128</f>
        <v>0.32999999999999829</v>
      </c>
      <c r="J128">
        <v>28</v>
      </c>
      <c r="K128">
        <v>2</v>
      </c>
    </row>
    <row r="129" spans="7:11" x14ac:dyDescent="0.25">
      <c r="G129">
        <f t="shared" si="8"/>
        <v>3.6666666666666665</v>
      </c>
      <c r="H129">
        <v>99.63</v>
      </c>
      <c r="I129">
        <f t="shared" si="9"/>
        <v>0.37000000000000455</v>
      </c>
      <c r="J129">
        <v>33</v>
      </c>
      <c r="K129">
        <v>3</v>
      </c>
    </row>
    <row r="130" spans="7:11" x14ac:dyDescent="0.25">
      <c r="G130">
        <f t="shared" si="8"/>
        <v>4.2222222222222223</v>
      </c>
      <c r="H130">
        <v>99.03</v>
      </c>
      <c r="I130">
        <f t="shared" si="9"/>
        <v>0.96999999999999886</v>
      </c>
      <c r="J130">
        <v>38</v>
      </c>
      <c r="K130">
        <v>4</v>
      </c>
    </row>
    <row r="131" spans="7:11" x14ac:dyDescent="0.25">
      <c r="G131">
        <f t="shared" si="8"/>
        <v>4.7777777777777777</v>
      </c>
      <c r="H131">
        <v>98.7</v>
      </c>
      <c r="I131">
        <f t="shared" si="9"/>
        <v>1.2999999999999972</v>
      </c>
      <c r="J131">
        <v>43</v>
      </c>
      <c r="K131">
        <v>5</v>
      </c>
    </row>
    <row r="132" spans="7:11" x14ac:dyDescent="0.25">
      <c r="G132">
        <f t="shared" si="8"/>
        <v>5.3333333333333339</v>
      </c>
      <c r="H132">
        <v>98.13</v>
      </c>
      <c r="I132">
        <f t="shared" si="9"/>
        <v>1.8700000000000045</v>
      </c>
      <c r="J132">
        <v>48</v>
      </c>
      <c r="K132">
        <v>6</v>
      </c>
    </row>
    <row r="133" spans="7:11" x14ac:dyDescent="0.25">
      <c r="G133">
        <f t="shared" si="8"/>
        <v>5.8888888888888884</v>
      </c>
      <c r="H133">
        <v>97.57</v>
      </c>
      <c r="I133">
        <f t="shared" si="9"/>
        <v>2.4300000000000068</v>
      </c>
      <c r="J133">
        <v>53</v>
      </c>
      <c r="K133">
        <v>7</v>
      </c>
    </row>
    <row r="134" spans="7:11" x14ac:dyDescent="0.25">
      <c r="G134">
        <f t="shared" si="8"/>
        <v>6.4444444444444446</v>
      </c>
      <c r="H134">
        <v>96.07</v>
      </c>
      <c r="I134">
        <f t="shared" si="9"/>
        <v>3.9300000000000068</v>
      </c>
      <c r="J134">
        <v>58</v>
      </c>
      <c r="K134">
        <v>8</v>
      </c>
    </row>
    <row r="135" spans="7:11" x14ac:dyDescent="0.25">
      <c r="G135">
        <f t="shared" si="8"/>
        <v>7.0000000000000009</v>
      </c>
      <c r="H135">
        <v>94.97</v>
      </c>
      <c r="I135">
        <f t="shared" si="9"/>
        <v>5.0300000000000011</v>
      </c>
      <c r="J135">
        <v>63</v>
      </c>
      <c r="K135">
        <v>9</v>
      </c>
    </row>
    <row r="136" spans="7:11" x14ac:dyDescent="0.25">
      <c r="G136">
        <f t="shared" si="8"/>
        <v>7.5555555555555554</v>
      </c>
      <c r="H136">
        <v>93.57</v>
      </c>
      <c r="I136">
        <f t="shared" si="9"/>
        <v>6.4300000000000068</v>
      </c>
      <c r="J136">
        <v>68</v>
      </c>
      <c r="K136">
        <v>10</v>
      </c>
    </row>
    <row r="137" spans="7:11" x14ac:dyDescent="0.25">
      <c r="G137">
        <f t="shared" si="8"/>
        <v>8.1111111111111107</v>
      </c>
      <c r="H137">
        <v>92.53</v>
      </c>
      <c r="I137">
        <f t="shared" si="9"/>
        <v>7.4699999999999989</v>
      </c>
      <c r="J137">
        <v>73</v>
      </c>
      <c r="K137">
        <v>11</v>
      </c>
    </row>
    <row r="138" spans="7:11" x14ac:dyDescent="0.25">
      <c r="G138">
        <f t="shared" si="8"/>
        <v>8.6666666666666679</v>
      </c>
      <c r="H138">
        <v>90.17</v>
      </c>
      <c r="I138">
        <f t="shared" si="9"/>
        <v>9.8299999999999983</v>
      </c>
      <c r="J138">
        <v>78</v>
      </c>
      <c r="K138">
        <v>12</v>
      </c>
    </row>
    <row r="139" spans="7:11" x14ac:dyDescent="0.25">
      <c r="G139">
        <f t="shared" si="8"/>
        <v>9.2222222222222214</v>
      </c>
      <c r="H139">
        <v>87.03</v>
      </c>
      <c r="I139">
        <f t="shared" si="9"/>
        <v>12.969999999999999</v>
      </c>
      <c r="J139">
        <v>83</v>
      </c>
      <c r="K139">
        <v>13</v>
      </c>
    </row>
    <row r="140" spans="7:11" x14ac:dyDescent="0.25">
      <c r="G140">
        <f t="shared" si="8"/>
        <v>9.7777777777777786</v>
      </c>
      <c r="H140">
        <v>84.23</v>
      </c>
      <c r="I140">
        <f t="shared" si="9"/>
        <v>15.769999999999996</v>
      </c>
      <c r="J140">
        <v>88</v>
      </c>
      <c r="K140">
        <v>14</v>
      </c>
    </row>
    <row r="141" spans="7:11" x14ac:dyDescent="0.25">
      <c r="G141">
        <f t="shared" si="8"/>
        <v>10.333333333333334</v>
      </c>
      <c r="H141">
        <v>80.900000000000006</v>
      </c>
      <c r="I141">
        <f t="shared" si="9"/>
        <v>19.099999999999994</v>
      </c>
      <c r="J141">
        <v>93</v>
      </c>
      <c r="K141">
        <v>15</v>
      </c>
    </row>
    <row r="142" spans="7:11" x14ac:dyDescent="0.25">
      <c r="G142">
        <f t="shared" si="8"/>
        <v>10.888888888888888</v>
      </c>
      <c r="H142">
        <v>76.87</v>
      </c>
      <c r="I142">
        <f t="shared" si="9"/>
        <v>23.129999999999995</v>
      </c>
      <c r="J142">
        <v>98</v>
      </c>
      <c r="K142">
        <v>16</v>
      </c>
    </row>
    <row r="143" spans="7:11" x14ac:dyDescent="0.25">
      <c r="G143">
        <f t="shared" si="8"/>
        <v>11.444444444444445</v>
      </c>
      <c r="H143">
        <v>74.099999999999994</v>
      </c>
      <c r="I143">
        <f t="shared" si="9"/>
        <v>25.900000000000006</v>
      </c>
      <c r="J143">
        <v>103</v>
      </c>
      <c r="K143">
        <v>17</v>
      </c>
    </row>
    <row r="144" spans="7:11" x14ac:dyDescent="0.25">
      <c r="G144">
        <f t="shared" si="8"/>
        <v>12</v>
      </c>
      <c r="H144">
        <v>68.17</v>
      </c>
      <c r="I144">
        <f t="shared" si="9"/>
        <v>31.83</v>
      </c>
      <c r="J144">
        <v>108</v>
      </c>
      <c r="K144">
        <v>18</v>
      </c>
    </row>
    <row r="145" spans="7:11" x14ac:dyDescent="0.25">
      <c r="G145">
        <f t="shared" si="8"/>
        <v>12.555555555555555</v>
      </c>
      <c r="H145">
        <v>63.27</v>
      </c>
      <c r="I145">
        <f t="shared" si="9"/>
        <v>36.729999999999997</v>
      </c>
      <c r="J145">
        <v>113</v>
      </c>
      <c r="K145">
        <v>19</v>
      </c>
    </row>
    <row r="146" spans="7:11" x14ac:dyDescent="0.25">
      <c r="G146">
        <f t="shared" si="8"/>
        <v>13.111111111111112</v>
      </c>
      <c r="H146">
        <v>57.33</v>
      </c>
      <c r="I146">
        <f t="shared" si="9"/>
        <v>42.67</v>
      </c>
      <c r="J146">
        <v>118</v>
      </c>
      <c r="K146">
        <v>20</v>
      </c>
    </row>
    <row r="147" spans="7:11" x14ac:dyDescent="0.25">
      <c r="G147">
        <f t="shared" si="8"/>
        <v>13.666666666666666</v>
      </c>
      <c r="H147">
        <v>49.23</v>
      </c>
      <c r="I147">
        <f t="shared" si="9"/>
        <v>50.77</v>
      </c>
      <c r="J147">
        <v>123</v>
      </c>
      <c r="K147">
        <v>21</v>
      </c>
    </row>
    <row r="148" spans="7:11" x14ac:dyDescent="0.25">
      <c r="G148">
        <f t="shared" si="8"/>
        <v>14.222222222222221</v>
      </c>
      <c r="H148">
        <v>44.8</v>
      </c>
      <c r="I148">
        <f t="shared" si="9"/>
        <v>55.2</v>
      </c>
      <c r="J148">
        <v>128</v>
      </c>
      <c r="K148">
        <v>22</v>
      </c>
    </row>
    <row r="149" spans="7:11" x14ac:dyDescent="0.25">
      <c r="G149">
        <f t="shared" si="8"/>
        <v>14.777777777777779</v>
      </c>
      <c r="H149">
        <v>37.47</v>
      </c>
      <c r="I149">
        <f t="shared" si="9"/>
        <v>62.53</v>
      </c>
      <c r="J149">
        <v>133</v>
      </c>
      <c r="K149">
        <v>23</v>
      </c>
    </row>
    <row r="150" spans="7:11" x14ac:dyDescent="0.25">
      <c r="G150">
        <f t="shared" si="8"/>
        <v>15.333333333333332</v>
      </c>
      <c r="H150">
        <v>32.03</v>
      </c>
      <c r="I150">
        <f t="shared" si="9"/>
        <v>67.97</v>
      </c>
      <c r="J150">
        <v>138</v>
      </c>
      <c r="K150">
        <v>24</v>
      </c>
    </row>
    <row r="151" spans="7:11" x14ac:dyDescent="0.25">
      <c r="G151">
        <f t="shared" si="8"/>
        <v>15.888888888888889</v>
      </c>
      <c r="H151">
        <v>25.27</v>
      </c>
      <c r="I151">
        <f t="shared" si="9"/>
        <v>74.73</v>
      </c>
      <c r="J151">
        <v>143</v>
      </c>
      <c r="K151">
        <v>25</v>
      </c>
    </row>
    <row r="152" spans="7:11" x14ac:dyDescent="0.25">
      <c r="G152">
        <f t="shared" si="8"/>
        <v>16.444444444444446</v>
      </c>
      <c r="H152">
        <v>17.97</v>
      </c>
      <c r="I152">
        <f t="shared" si="9"/>
        <v>82.03</v>
      </c>
      <c r="J152">
        <v>148</v>
      </c>
      <c r="K152">
        <v>26</v>
      </c>
    </row>
    <row r="153" spans="7:11" x14ac:dyDescent="0.25">
      <c r="G153">
        <f t="shared" si="8"/>
        <v>17</v>
      </c>
      <c r="H153">
        <v>12.83</v>
      </c>
      <c r="I153">
        <f t="shared" si="9"/>
        <v>87.17</v>
      </c>
      <c r="J153">
        <v>153</v>
      </c>
      <c r="K153">
        <v>27</v>
      </c>
    </row>
    <row r="154" spans="7:11" x14ac:dyDescent="0.25">
      <c r="G154">
        <f t="shared" si="8"/>
        <v>17.555555555555554</v>
      </c>
      <c r="H154">
        <v>8.73</v>
      </c>
      <c r="I154">
        <f t="shared" si="9"/>
        <v>91.27</v>
      </c>
      <c r="J154">
        <v>158</v>
      </c>
      <c r="K154">
        <v>28</v>
      </c>
    </row>
    <row r="155" spans="7:11" x14ac:dyDescent="0.25">
      <c r="G155">
        <f t="shared" si="8"/>
        <v>18.111111111111111</v>
      </c>
      <c r="H155">
        <v>5.83</v>
      </c>
      <c r="I155">
        <f t="shared" si="9"/>
        <v>94.17</v>
      </c>
      <c r="J155">
        <v>163</v>
      </c>
      <c r="K155">
        <v>29</v>
      </c>
    </row>
    <row r="156" spans="7:11" x14ac:dyDescent="0.25">
      <c r="G156">
        <f t="shared" si="8"/>
        <v>18.666666666666668</v>
      </c>
      <c r="H156">
        <v>3.93</v>
      </c>
      <c r="I156">
        <f t="shared" si="9"/>
        <v>96.07</v>
      </c>
      <c r="J156">
        <v>168</v>
      </c>
      <c r="K156">
        <v>30</v>
      </c>
    </row>
    <row r="157" spans="7:11" x14ac:dyDescent="0.25">
      <c r="G157">
        <f t="shared" si="8"/>
        <v>19.222222222222221</v>
      </c>
      <c r="H157">
        <v>1.5</v>
      </c>
      <c r="I157">
        <f t="shared" si="9"/>
        <v>98.5</v>
      </c>
      <c r="J157">
        <v>173</v>
      </c>
      <c r="K157">
        <v>31</v>
      </c>
    </row>
    <row r="158" spans="7:11" x14ac:dyDescent="0.25">
      <c r="G158">
        <f t="shared" si="8"/>
        <v>19.777777777777779</v>
      </c>
      <c r="H158">
        <v>1.07</v>
      </c>
      <c r="I158">
        <f t="shared" si="9"/>
        <v>98.93</v>
      </c>
      <c r="J158">
        <v>178</v>
      </c>
      <c r="K158">
        <v>32</v>
      </c>
    </row>
    <row r="159" spans="7:11" x14ac:dyDescent="0.25">
      <c r="G159">
        <f t="shared" si="8"/>
        <v>20.333333333333332</v>
      </c>
      <c r="H159">
        <v>0.37</v>
      </c>
      <c r="I159">
        <f t="shared" si="9"/>
        <v>99.63</v>
      </c>
      <c r="J159">
        <v>183</v>
      </c>
      <c r="K159">
        <v>33</v>
      </c>
    </row>
    <row r="160" spans="7:11" x14ac:dyDescent="0.25">
      <c r="G160">
        <f t="shared" si="8"/>
        <v>20.888888888888889</v>
      </c>
      <c r="H160">
        <v>0.13</v>
      </c>
      <c r="I160">
        <f t="shared" si="9"/>
        <v>99.87</v>
      </c>
      <c r="J160">
        <v>188</v>
      </c>
      <c r="K160">
        <v>34</v>
      </c>
    </row>
    <row r="161" spans="7:11" x14ac:dyDescent="0.25">
      <c r="G161">
        <f t="shared" si="8"/>
        <v>21.444444444444443</v>
      </c>
      <c r="H161">
        <v>0.1</v>
      </c>
      <c r="I161">
        <f t="shared" si="9"/>
        <v>99.9</v>
      </c>
      <c r="J161">
        <v>193</v>
      </c>
      <c r="K161">
        <v>35</v>
      </c>
    </row>
    <row r="162" spans="7:11" x14ac:dyDescent="0.25">
      <c r="G162">
        <f t="shared" si="8"/>
        <v>22</v>
      </c>
      <c r="H162">
        <v>0.03</v>
      </c>
      <c r="I162">
        <f t="shared" si="9"/>
        <v>99.97</v>
      </c>
      <c r="J162">
        <v>198</v>
      </c>
      <c r="K162">
        <v>36</v>
      </c>
    </row>
    <row r="163" spans="7:11" x14ac:dyDescent="0.25">
      <c r="G163">
        <f t="shared" si="8"/>
        <v>22.555555555555557</v>
      </c>
      <c r="H163">
        <v>0</v>
      </c>
      <c r="I163">
        <f t="shared" si="9"/>
        <v>100</v>
      </c>
      <c r="J163">
        <v>203</v>
      </c>
      <c r="K163">
        <v>37</v>
      </c>
    </row>
    <row r="164" spans="7:11" x14ac:dyDescent="0.25">
      <c r="G164">
        <f t="shared" si="8"/>
        <v>23.111111111111111</v>
      </c>
      <c r="H164">
        <v>0</v>
      </c>
      <c r="I164">
        <f t="shared" si="9"/>
        <v>100</v>
      </c>
      <c r="J164">
        <v>208</v>
      </c>
      <c r="K164">
        <v>38</v>
      </c>
    </row>
    <row r="165" spans="7:11" x14ac:dyDescent="0.25">
      <c r="G165">
        <f t="shared" si="8"/>
        <v>23.666666666666668</v>
      </c>
      <c r="H165">
        <v>0</v>
      </c>
      <c r="I165">
        <f t="shared" si="9"/>
        <v>100</v>
      </c>
      <c r="J165">
        <v>213</v>
      </c>
      <c r="K165">
        <v>39</v>
      </c>
    </row>
    <row r="166" spans="7:11" x14ac:dyDescent="0.25">
      <c r="G166">
        <f t="shared" si="8"/>
        <v>24.222222222222221</v>
      </c>
      <c r="H166">
        <v>0</v>
      </c>
      <c r="I166">
        <f t="shared" si="9"/>
        <v>100</v>
      </c>
      <c r="J166">
        <v>218</v>
      </c>
      <c r="K166">
        <v>40</v>
      </c>
    </row>
    <row r="167" spans="7:11" x14ac:dyDescent="0.25">
      <c r="G167">
        <f t="shared" si="8"/>
        <v>24.777777777777779</v>
      </c>
      <c r="H167">
        <v>0</v>
      </c>
      <c r="I167">
        <f t="shared" si="9"/>
        <v>100</v>
      </c>
      <c r="J167">
        <v>223</v>
      </c>
      <c r="K167">
        <v>41</v>
      </c>
    </row>
    <row r="168" spans="7:11" x14ac:dyDescent="0.25">
      <c r="G168">
        <f t="shared" si="8"/>
        <v>25.333333333333336</v>
      </c>
      <c r="H168">
        <v>0</v>
      </c>
      <c r="I168">
        <f t="shared" si="9"/>
        <v>100</v>
      </c>
      <c r="J168">
        <v>228</v>
      </c>
      <c r="K168">
        <v>42</v>
      </c>
    </row>
    <row r="169" spans="7:11" x14ac:dyDescent="0.25">
      <c r="G169">
        <f t="shared" si="8"/>
        <v>25.888888888888889</v>
      </c>
      <c r="H169">
        <v>0</v>
      </c>
      <c r="I169">
        <f t="shared" si="9"/>
        <v>100</v>
      </c>
      <c r="J169">
        <v>233</v>
      </c>
      <c r="K169">
        <v>43</v>
      </c>
    </row>
    <row r="170" spans="7:11" x14ac:dyDescent="0.25">
      <c r="G170">
        <f t="shared" si="8"/>
        <v>26.444444444444443</v>
      </c>
      <c r="H170">
        <v>0</v>
      </c>
      <c r="I170">
        <f t="shared" si="9"/>
        <v>100</v>
      </c>
      <c r="J170">
        <v>238</v>
      </c>
      <c r="K170">
        <v>44</v>
      </c>
    </row>
    <row r="171" spans="7:11" x14ac:dyDescent="0.25">
      <c r="G171">
        <f t="shared" si="8"/>
        <v>27</v>
      </c>
      <c r="H171">
        <v>0</v>
      </c>
      <c r="I171">
        <f t="shared" si="9"/>
        <v>100</v>
      </c>
      <c r="J171">
        <v>243</v>
      </c>
      <c r="K171">
        <v>45</v>
      </c>
    </row>
    <row r="172" spans="7:11" x14ac:dyDescent="0.25">
      <c r="G172">
        <f t="shared" si="8"/>
        <v>27.555555555555557</v>
      </c>
      <c r="H172">
        <v>0</v>
      </c>
      <c r="I172">
        <f t="shared" si="9"/>
        <v>100</v>
      </c>
      <c r="J172">
        <v>248</v>
      </c>
      <c r="K172">
        <v>46</v>
      </c>
    </row>
    <row r="173" spans="7:11" x14ac:dyDescent="0.25">
      <c r="G173">
        <f t="shared" si="8"/>
        <v>28.111111111111107</v>
      </c>
      <c r="H173">
        <v>0</v>
      </c>
      <c r="I173">
        <f t="shared" si="9"/>
        <v>100</v>
      </c>
      <c r="J173">
        <v>253</v>
      </c>
      <c r="K173">
        <v>47</v>
      </c>
    </row>
    <row r="174" spans="7:11" x14ac:dyDescent="0.25">
      <c r="G174">
        <f t="shared" si="8"/>
        <v>28.666666666666668</v>
      </c>
      <c r="H174">
        <v>0</v>
      </c>
      <c r="I174">
        <f t="shared" si="9"/>
        <v>100</v>
      </c>
      <c r="J174">
        <v>258</v>
      </c>
      <c r="K174">
        <v>48</v>
      </c>
    </row>
    <row r="175" spans="7:11" x14ac:dyDescent="0.25">
      <c r="G175">
        <f t="shared" si="8"/>
        <v>29.222222222222221</v>
      </c>
      <c r="H175">
        <v>0</v>
      </c>
      <c r="I175">
        <f t="shared" si="9"/>
        <v>100</v>
      </c>
      <c r="J175">
        <v>263</v>
      </c>
      <c r="K175">
        <v>49</v>
      </c>
    </row>
    <row r="176" spans="7:11" x14ac:dyDescent="0.25">
      <c r="G176">
        <f t="shared" si="8"/>
        <v>29.777777777777775</v>
      </c>
      <c r="H176">
        <v>0</v>
      </c>
      <c r="I176">
        <f t="shared" si="9"/>
        <v>100</v>
      </c>
      <c r="J176">
        <v>268</v>
      </c>
      <c r="K176">
        <v>50</v>
      </c>
    </row>
    <row r="177" spans="7:13" x14ac:dyDescent="0.25">
      <c r="G177">
        <f t="shared" si="8"/>
        <v>30.333333333333336</v>
      </c>
      <c r="H177">
        <v>0</v>
      </c>
      <c r="I177">
        <f t="shared" si="9"/>
        <v>100</v>
      </c>
      <c r="J177">
        <v>273</v>
      </c>
      <c r="K177">
        <v>51</v>
      </c>
    </row>
    <row r="178" spans="7:13" x14ac:dyDescent="0.25">
      <c r="G178">
        <f t="shared" si="8"/>
        <v>30.888888888888889</v>
      </c>
      <c r="H178">
        <v>0</v>
      </c>
      <c r="I178">
        <f t="shared" si="9"/>
        <v>100</v>
      </c>
      <c r="J178">
        <v>278</v>
      </c>
      <c r="K178">
        <v>52</v>
      </c>
    </row>
    <row r="181" spans="7:13" ht="21" x14ac:dyDescent="0.25">
      <c r="L181" s="1" t="s">
        <v>0</v>
      </c>
      <c r="M181" s="2" t="s">
        <v>1</v>
      </c>
    </row>
    <row r="182" spans="7:13" ht="15.75" thickBot="1" x14ac:dyDescent="0.3">
      <c r="L182" s="3">
        <v>1225</v>
      </c>
      <c r="M182" s="3" t="s">
        <v>12</v>
      </c>
    </row>
    <row r="183" spans="7:13" ht="22.5" thickTop="1" thickBot="1" x14ac:dyDescent="0.3">
      <c r="G183" s="4" t="s">
        <v>3</v>
      </c>
      <c r="H183" s="5" t="s">
        <v>4</v>
      </c>
      <c r="I183" s="6" t="s">
        <v>5</v>
      </c>
      <c r="J183" s="7" t="s">
        <v>6</v>
      </c>
      <c r="K183" s="8" t="s">
        <v>7</v>
      </c>
    </row>
    <row r="184" spans="7:13" ht="15.75" thickTop="1" x14ac:dyDescent="0.25">
      <c r="G184">
        <f>(J184/$L$182)*100</f>
        <v>2.8571428571428572</v>
      </c>
      <c r="H184">
        <v>99.67</v>
      </c>
      <c r="I184">
        <f>100-H184</f>
        <v>0.32999999999999829</v>
      </c>
      <c r="J184">
        <v>35</v>
      </c>
      <c r="K184">
        <v>1</v>
      </c>
    </row>
    <row r="185" spans="7:13" x14ac:dyDescent="0.25">
      <c r="G185">
        <f t="shared" ref="G185:G224" si="10">(J185/$L$182)*100</f>
        <v>3.6734693877551026</v>
      </c>
      <c r="H185">
        <v>99.6</v>
      </c>
      <c r="I185">
        <f t="shared" ref="I185:I248" si="11">100-H185</f>
        <v>0.40000000000000568</v>
      </c>
      <c r="J185">
        <v>45</v>
      </c>
      <c r="K185">
        <v>2</v>
      </c>
    </row>
    <row r="186" spans="7:13" x14ac:dyDescent="0.25">
      <c r="G186">
        <f t="shared" si="10"/>
        <v>4.4897959183673466</v>
      </c>
      <c r="H186">
        <v>98.8</v>
      </c>
      <c r="I186">
        <f t="shared" si="11"/>
        <v>1.2000000000000028</v>
      </c>
      <c r="J186">
        <v>55</v>
      </c>
      <c r="K186">
        <v>3</v>
      </c>
    </row>
    <row r="187" spans="7:13" x14ac:dyDescent="0.25">
      <c r="G187">
        <f t="shared" si="10"/>
        <v>5.3061224489795915</v>
      </c>
      <c r="H187">
        <v>98.2</v>
      </c>
      <c r="I187">
        <f t="shared" si="11"/>
        <v>1.7999999999999972</v>
      </c>
      <c r="J187">
        <v>65</v>
      </c>
      <c r="K187">
        <v>4</v>
      </c>
    </row>
    <row r="188" spans="7:13" x14ac:dyDescent="0.25">
      <c r="G188">
        <f t="shared" si="10"/>
        <v>6.1224489795918364</v>
      </c>
      <c r="H188">
        <v>96.97</v>
      </c>
      <c r="I188">
        <f t="shared" si="11"/>
        <v>3.0300000000000011</v>
      </c>
      <c r="J188">
        <v>75</v>
      </c>
      <c r="K188">
        <v>5</v>
      </c>
    </row>
    <row r="189" spans="7:13" x14ac:dyDescent="0.25">
      <c r="G189">
        <f t="shared" si="10"/>
        <v>6.9387755102040813</v>
      </c>
      <c r="H189">
        <v>95.3</v>
      </c>
      <c r="I189">
        <f t="shared" si="11"/>
        <v>4.7000000000000028</v>
      </c>
      <c r="J189">
        <v>85</v>
      </c>
      <c r="K189">
        <v>6</v>
      </c>
    </row>
    <row r="190" spans="7:13" x14ac:dyDescent="0.25">
      <c r="G190">
        <f t="shared" si="10"/>
        <v>7.7551020408163263</v>
      </c>
      <c r="H190">
        <v>92.7</v>
      </c>
      <c r="I190">
        <f t="shared" si="11"/>
        <v>7.2999999999999972</v>
      </c>
      <c r="J190">
        <v>95</v>
      </c>
      <c r="K190">
        <v>7</v>
      </c>
    </row>
    <row r="191" spans="7:13" x14ac:dyDescent="0.25">
      <c r="G191">
        <f t="shared" si="10"/>
        <v>8.5714285714285712</v>
      </c>
      <c r="H191">
        <v>90.1</v>
      </c>
      <c r="I191">
        <f t="shared" si="11"/>
        <v>9.9000000000000057</v>
      </c>
      <c r="J191">
        <v>105</v>
      </c>
      <c r="K191">
        <v>8</v>
      </c>
    </row>
    <row r="192" spans="7:13" x14ac:dyDescent="0.25">
      <c r="G192">
        <f t="shared" si="10"/>
        <v>9.387755102040817</v>
      </c>
      <c r="H192">
        <v>85.07</v>
      </c>
      <c r="I192">
        <f t="shared" si="11"/>
        <v>14.930000000000007</v>
      </c>
      <c r="J192">
        <v>115</v>
      </c>
      <c r="K192">
        <v>9</v>
      </c>
    </row>
    <row r="193" spans="7:11" x14ac:dyDescent="0.25">
      <c r="G193">
        <f t="shared" si="10"/>
        <v>10.204081632653061</v>
      </c>
      <c r="H193">
        <v>81</v>
      </c>
      <c r="I193">
        <f t="shared" si="11"/>
        <v>19</v>
      </c>
      <c r="J193">
        <v>125</v>
      </c>
      <c r="K193">
        <v>10</v>
      </c>
    </row>
    <row r="194" spans="7:11" x14ac:dyDescent="0.25">
      <c r="G194">
        <f t="shared" si="10"/>
        <v>11.020408163265307</v>
      </c>
      <c r="H194">
        <v>73.77</v>
      </c>
      <c r="I194">
        <f t="shared" si="11"/>
        <v>26.230000000000004</v>
      </c>
      <c r="J194">
        <v>135</v>
      </c>
      <c r="K194">
        <v>11</v>
      </c>
    </row>
    <row r="195" spans="7:11" x14ac:dyDescent="0.25">
      <c r="G195">
        <f t="shared" si="10"/>
        <v>11.836734693877551</v>
      </c>
      <c r="H195">
        <v>67.599999999999994</v>
      </c>
      <c r="I195">
        <f t="shared" si="11"/>
        <v>32.400000000000006</v>
      </c>
      <c r="J195">
        <v>145</v>
      </c>
      <c r="K195">
        <v>12</v>
      </c>
    </row>
    <row r="196" spans="7:11" x14ac:dyDescent="0.25">
      <c r="G196">
        <f t="shared" si="10"/>
        <v>12.653061224489795</v>
      </c>
      <c r="H196">
        <v>60.3</v>
      </c>
      <c r="I196">
        <f t="shared" si="11"/>
        <v>39.700000000000003</v>
      </c>
      <c r="J196">
        <v>155</v>
      </c>
      <c r="K196">
        <v>13</v>
      </c>
    </row>
    <row r="197" spans="7:11" x14ac:dyDescent="0.25">
      <c r="G197">
        <f t="shared" si="10"/>
        <v>13.469387755102041</v>
      </c>
      <c r="H197">
        <v>50.93</v>
      </c>
      <c r="I197">
        <f t="shared" si="11"/>
        <v>49.07</v>
      </c>
      <c r="J197">
        <v>165</v>
      </c>
      <c r="K197">
        <v>14</v>
      </c>
    </row>
    <row r="198" spans="7:11" x14ac:dyDescent="0.25">
      <c r="G198">
        <f t="shared" si="10"/>
        <v>14.285714285714285</v>
      </c>
      <c r="H198">
        <v>38.270000000000003</v>
      </c>
      <c r="I198">
        <f t="shared" si="11"/>
        <v>61.73</v>
      </c>
      <c r="J198">
        <v>175</v>
      </c>
      <c r="K198">
        <v>15</v>
      </c>
    </row>
    <row r="199" spans="7:11" x14ac:dyDescent="0.25">
      <c r="G199">
        <f t="shared" si="10"/>
        <v>15.102040816326531</v>
      </c>
      <c r="H199">
        <v>29.57</v>
      </c>
      <c r="I199">
        <f t="shared" si="11"/>
        <v>70.430000000000007</v>
      </c>
      <c r="J199">
        <v>185</v>
      </c>
      <c r="K199">
        <v>16</v>
      </c>
    </row>
    <row r="200" spans="7:11" x14ac:dyDescent="0.25">
      <c r="G200">
        <f t="shared" si="10"/>
        <v>15.918367346938775</v>
      </c>
      <c r="H200">
        <v>21.43</v>
      </c>
      <c r="I200">
        <f t="shared" si="11"/>
        <v>78.569999999999993</v>
      </c>
      <c r="J200">
        <v>195</v>
      </c>
      <c r="K200">
        <v>17</v>
      </c>
    </row>
    <row r="201" spans="7:11" x14ac:dyDescent="0.25">
      <c r="G201">
        <f t="shared" si="10"/>
        <v>16.73469387755102</v>
      </c>
      <c r="H201">
        <v>16.13</v>
      </c>
      <c r="I201">
        <f t="shared" si="11"/>
        <v>83.87</v>
      </c>
      <c r="J201">
        <v>205</v>
      </c>
      <c r="K201">
        <v>18</v>
      </c>
    </row>
    <row r="202" spans="7:11" x14ac:dyDescent="0.25">
      <c r="G202">
        <f t="shared" si="10"/>
        <v>17.551020408163264</v>
      </c>
      <c r="H202">
        <v>6.9</v>
      </c>
      <c r="I202">
        <f t="shared" si="11"/>
        <v>93.1</v>
      </c>
      <c r="J202">
        <v>215</v>
      </c>
      <c r="K202">
        <v>19</v>
      </c>
    </row>
    <row r="203" spans="7:11" x14ac:dyDescent="0.25">
      <c r="G203">
        <f t="shared" si="10"/>
        <v>18.367346938775512</v>
      </c>
      <c r="H203">
        <v>4</v>
      </c>
      <c r="I203">
        <f t="shared" si="11"/>
        <v>96</v>
      </c>
      <c r="J203">
        <v>225</v>
      </c>
      <c r="K203">
        <v>20</v>
      </c>
    </row>
    <row r="204" spans="7:11" x14ac:dyDescent="0.25">
      <c r="G204">
        <f t="shared" si="10"/>
        <v>19.183673469387756</v>
      </c>
      <c r="H204">
        <v>1.27</v>
      </c>
      <c r="I204">
        <f t="shared" si="11"/>
        <v>98.73</v>
      </c>
      <c r="J204">
        <v>235</v>
      </c>
      <c r="K204">
        <v>21</v>
      </c>
    </row>
    <row r="205" spans="7:11" x14ac:dyDescent="0.25">
      <c r="G205">
        <f t="shared" si="10"/>
        <v>20</v>
      </c>
      <c r="H205">
        <v>0.2</v>
      </c>
      <c r="I205">
        <f t="shared" si="11"/>
        <v>99.8</v>
      </c>
      <c r="J205">
        <v>245</v>
      </c>
      <c r="K205">
        <v>22</v>
      </c>
    </row>
    <row r="206" spans="7:11" x14ac:dyDescent="0.25">
      <c r="G206">
        <f t="shared" si="10"/>
        <v>20.816326530612244</v>
      </c>
      <c r="H206">
        <v>0.1</v>
      </c>
      <c r="I206">
        <f t="shared" si="11"/>
        <v>99.9</v>
      </c>
      <c r="J206">
        <v>255</v>
      </c>
      <c r="K206">
        <v>23</v>
      </c>
    </row>
    <row r="207" spans="7:11" x14ac:dyDescent="0.25">
      <c r="G207">
        <f t="shared" si="10"/>
        <v>21.632653061224492</v>
      </c>
      <c r="H207">
        <v>0</v>
      </c>
      <c r="I207">
        <f t="shared" si="11"/>
        <v>100</v>
      </c>
      <c r="J207">
        <v>265</v>
      </c>
      <c r="K207">
        <v>24</v>
      </c>
    </row>
    <row r="208" spans="7:11" x14ac:dyDescent="0.25">
      <c r="G208">
        <f t="shared" si="10"/>
        <v>22.448979591836736</v>
      </c>
      <c r="H208">
        <v>0</v>
      </c>
      <c r="I208">
        <f t="shared" si="11"/>
        <v>100</v>
      </c>
      <c r="J208">
        <v>275</v>
      </c>
      <c r="K208">
        <v>25</v>
      </c>
    </row>
    <row r="209" spans="7:13" x14ac:dyDescent="0.25">
      <c r="G209">
        <f t="shared" si="10"/>
        <v>23.26530612244898</v>
      </c>
      <c r="H209">
        <v>0</v>
      </c>
      <c r="I209">
        <f t="shared" si="11"/>
        <v>100</v>
      </c>
      <c r="J209">
        <v>285</v>
      </c>
      <c r="K209">
        <v>26</v>
      </c>
    </row>
    <row r="210" spans="7:13" x14ac:dyDescent="0.25">
      <c r="G210">
        <f t="shared" si="10"/>
        <v>24.081632653061224</v>
      </c>
      <c r="H210">
        <v>0</v>
      </c>
      <c r="I210">
        <f t="shared" si="11"/>
        <v>100</v>
      </c>
      <c r="J210">
        <v>295</v>
      </c>
      <c r="K210">
        <v>27</v>
      </c>
    </row>
    <row r="211" spans="7:13" x14ac:dyDescent="0.25">
      <c r="G211">
        <f t="shared" si="10"/>
        <v>24.897959183673468</v>
      </c>
      <c r="H211">
        <v>0</v>
      </c>
      <c r="I211">
        <f t="shared" si="11"/>
        <v>100</v>
      </c>
      <c r="J211">
        <v>305</v>
      </c>
      <c r="K211">
        <v>28</v>
      </c>
    </row>
    <row r="212" spans="7:13" x14ac:dyDescent="0.25">
      <c r="G212">
        <f t="shared" si="10"/>
        <v>25.714285714285712</v>
      </c>
      <c r="H212">
        <v>0</v>
      </c>
      <c r="I212">
        <f t="shared" si="11"/>
        <v>100</v>
      </c>
      <c r="J212">
        <v>315</v>
      </c>
      <c r="K212">
        <v>29</v>
      </c>
    </row>
    <row r="213" spans="7:13" x14ac:dyDescent="0.25">
      <c r="G213">
        <f t="shared" si="10"/>
        <v>26.530612244897959</v>
      </c>
      <c r="H213">
        <v>0</v>
      </c>
      <c r="I213">
        <f t="shared" si="11"/>
        <v>100</v>
      </c>
      <c r="J213">
        <v>325</v>
      </c>
      <c r="K213">
        <v>30</v>
      </c>
    </row>
    <row r="214" spans="7:13" x14ac:dyDescent="0.25">
      <c r="G214">
        <f t="shared" si="10"/>
        <v>27.346938775510203</v>
      </c>
      <c r="H214">
        <v>0</v>
      </c>
      <c r="I214">
        <f t="shared" si="11"/>
        <v>100</v>
      </c>
      <c r="J214">
        <v>335</v>
      </c>
      <c r="K214">
        <v>31</v>
      </c>
    </row>
    <row r="215" spans="7:13" x14ac:dyDescent="0.25">
      <c r="G215">
        <f t="shared" si="10"/>
        <v>28.163265306122447</v>
      </c>
      <c r="H215">
        <v>0</v>
      </c>
      <c r="I215">
        <f t="shared" si="11"/>
        <v>100</v>
      </c>
      <c r="J215">
        <v>345</v>
      </c>
      <c r="K215">
        <v>32</v>
      </c>
    </row>
    <row r="216" spans="7:13" x14ac:dyDescent="0.25">
      <c r="G216">
        <f t="shared" si="10"/>
        <v>28.979591836734691</v>
      </c>
      <c r="H216">
        <v>0</v>
      </c>
      <c r="I216">
        <f t="shared" si="11"/>
        <v>100</v>
      </c>
      <c r="J216">
        <v>355</v>
      </c>
      <c r="K216">
        <v>33</v>
      </c>
    </row>
    <row r="217" spans="7:13" x14ac:dyDescent="0.25">
      <c r="G217">
        <f t="shared" si="10"/>
        <v>29.795918367346943</v>
      </c>
      <c r="H217">
        <v>0</v>
      </c>
      <c r="I217">
        <f t="shared" si="11"/>
        <v>100</v>
      </c>
      <c r="J217">
        <v>365</v>
      </c>
      <c r="K217">
        <v>34</v>
      </c>
    </row>
    <row r="218" spans="7:13" x14ac:dyDescent="0.25">
      <c r="G218">
        <f t="shared" si="10"/>
        <v>30.612244897959183</v>
      </c>
      <c r="H218">
        <v>0</v>
      </c>
      <c r="I218">
        <f t="shared" si="11"/>
        <v>100</v>
      </c>
      <c r="J218">
        <v>375</v>
      </c>
      <c r="K218">
        <v>35</v>
      </c>
    </row>
    <row r="219" spans="7:13" x14ac:dyDescent="0.25">
      <c r="G219">
        <f t="shared" si="10"/>
        <v>31.428571428571427</v>
      </c>
      <c r="H219">
        <v>0</v>
      </c>
      <c r="I219">
        <f t="shared" si="11"/>
        <v>100</v>
      </c>
      <c r="J219">
        <v>385</v>
      </c>
      <c r="K219">
        <v>36</v>
      </c>
    </row>
    <row r="220" spans="7:13" x14ac:dyDescent="0.25">
      <c r="G220">
        <f t="shared" si="10"/>
        <v>32.244897959183675</v>
      </c>
      <c r="H220">
        <v>0</v>
      </c>
      <c r="I220">
        <f t="shared" si="11"/>
        <v>100</v>
      </c>
      <c r="J220">
        <v>395</v>
      </c>
      <c r="K220">
        <v>37</v>
      </c>
    </row>
    <row r="221" spans="7:13" x14ac:dyDescent="0.25">
      <c r="G221">
        <f t="shared" si="10"/>
        <v>33.061224489795919</v>
      </c>
      <c r="H221">
        <v>0</v>
      </c>
      <c r="I221">
        <f t="shared" si="11"/>
        <v>100</v>
      </c>
      <c r="J221">
        <v>405</v>
      </c>
      <c r="K221">
        <v>38</v>
      </c>
    </row>
    <row r="224" spans="7:13" ht="21" x14ac:dyDescent="0.25">
      <c r="L224" s="1" t="s">
        <v>0</v>
      </c>
      <c r="M224" s="2" t="s">
        <v>1</v>
      </c>
    </row>
    <row r="225" spans="7:13" ht="15.75" thickBot="1" x14ac:dyDescent="0.3">
      <c r="L225" s="3">
        <v>1600</v>
      </c>
      <c r="M225" s="3" t="s">
        <v>13</v>
      </c>
    </row>
    <row r="226" spans="7:13" ht="22.5" thickTop="1" thickBot="1" x14ac:dyDescent="0.3">
      <c r="G226" s="4" t="s">
        <v>3</v>
      </c>
      <c r="H226" s="5" t="s">
        <v>4</v>
      </c>
      <c r="I226" s="6" t="s">
        <v>5</v>
      </c>
      <c r="J226" s="7" t="s">
        <v>6</v>
      </c>
      <c r="K226" s="8" t="s">
        <v>7</v>
      </c>
    </row>
    <row r="227" spans="7:13" ht="15.75" thickTop="1" x14ac:dyDescent="0.25">
      <c r="G227">
        <f>(J227/$L$225)*100</f>
        <v>4.6875</v>
      </c>
      <c r="H227">
        <v>99</v>
      </c>
      <c r="I227">
        <f>100-H227</f>
        <v>1</v>
      </c>
      <c r="J227">
        <v>75</v>
      </c>
      <c r="K227">
        <v>1</v>
      </c>
    </row>
    <row r="228" spans="7:13" x14ac:dyDescent="0.25">
      <c r="G228">
        <f t="shared" ref="G228:G251" si="12">(J228/$L$225)*100</f>
        <v>5.3125</v>
      </c>
      <c r="H228">
        <v>98.1</v>
      </c>
      <c r="I228">
        <f t="shared" si="11"/>
        <v>1.9000000000000057</v>
      </c>
      <c r="J228">
        <v>85</v>
      </c>
      <c r="K228">
        <v>2</v>
      </c>
    </row>
    <row r="229" spans="7:13" x14ac:dyDescent="0.25">
      <c r="G229">
        <f t="shared" si="12"/>
        <v>5.9375</v>
      </c>
      <c r="H229">
        <v>97</v>
      </c>
      <c r="I229">
        <f t="shared" si="11"/>
        <v>3</v>
      </c>
      <c r="J229">
        <v>95</v>
      </c>
      <c r="K229">
        <v>3</v>
      </c>
    </row>
    <row r="230" spans="7:13" x14ac:dyDescent="0.25">
      <c r="G230">
        <f t="shared" si="12"/>
        <v>6.5625</v>
      </c>
      <c r="H230">
        <v>95.97</v>
      </c>
      <c r="I230">
        <f t="shared" si="11"/>
        <v>4.0300000000000011</v>
      </c>
      <c r="J230">
        <v>105</v>
      </c>
      <c r="K230">
        <v>4</v>
      </c>
    </row>
    <row r="231" spans="7:13" x14ac:dyDescent="0.25">
      <c r="G231">
        <f t="shared" si="12"/>
        <v>7.1874999999999991</v>
      </c>
      <c r="H231">
        <v>94.33</v>
      </c>
      <c r="I231">
        <f t="shared" si="11"/>
        <v>5.6700000000000017</v>
      </c>
      <c r="J231">
        <v>115</v>
      </c>
      <c r="K231">
        <v>5</v>
      </c>
    </row>
    <row r="232" spans="7:13" x14ac:dyDescent="0.25">
      <c r="G232">
        <f t="shared" si="12"/>
        <v>7.8125</v>
      </c>
      <c r="H232">
        <v>92.07</v>
      </c>
      <c r="I232">
        <f t="shared" si="11"/>
        <v>7.9300000000000068</v>
      </c>
      <c r="J232">
        <v>125</v>
      </c>
      <c r="K232">
        <v>6</v>
      </c>
    </row>
    <row r="233" spans="7:13" x14ac:dyDescent="0.25">
      <c r="G233">
        <f t="shared" si="12"/>
        <v>8.4375</v>
      </c>
      <c r="H233">
        <v>90.2</v>
      </c>
      <c r="I233">
        <f t="shared" si="11"/>
        <v>9.7999999999999972</v>
      </c>
      <c r="J233">
        <v>135</v>
      </c>
      <c r="K233">
        <v>7</v>
      </c>
    </row>
    <row r="234" spans="7:13" x14ac:dyDescent="0.25">
      <c r="G234">
        <f t="shared" si="12"/>
        <v>9.0625</v>
      </c>
      <c r="H234">
        <v>87.4</v>
      </c>
      <c r="I234">
        <f t="shared" si="11"/>
        <v>12.599999999999994</v>
      </c>
      <c r="J234">
        <v>145</v>
      </c>
      <c r="K234">
        <v>8</v>
      </c>
    </row>
    <row r="235" spans="7:13" x14ac:dyDescent="0.25">
      <c r="G235">
        <f t="shared" si="12"/>
        <v>9.6875</v>
      </c>
      <c r="H235">
        <v>83.7</v>
      </c>
      <c r="I235">
        <f t="shared" si="11"/>
        <v>16.299999999999997</v>
      </c>
      <c r="J235">
        <v>155</v>
      </c>
      <c r="K235">
        <v>9</v>
      </c>
    </row>
    <row r="236" spans="7:13" x14ac:dyDescent="0.25">
      <c r="G236">
        <f t="shared" si="12"/>
        <v>10.3125</v>
      </c>
      <c r="H236">
        <v>80.17</v>
      </c>
      <c r="I236">
        <f t="shared" si="11"/>
        <v>19.829999999999998</v>
      </c>
      <c r="J236">
        <v>165</v>
      </c>
      <c r="K236">
        <v>10</v>
      </c>
    </row>
    <row r="237" spans="7:13" x14ac:dyDescent="0.25">
      <c r="G237">
        <f t="shared" si="12"/>
        <v>10.9375</v>
      </c>
      <c r="H237">
        <v>74.63</v>
      </c>
      <c r="I237">
        <f t="shared" si="11"/>
        <v>25.370000000000005</v>
      </c>
      <c r="J237">
        <v>175</v>
      </c>
      <c r="K237">
        <v>11</v>
      </c>
    </row>
    <row r="238" spans="7:13" x14ac:dyDescent="0.25">
      <c r="G238">
        <f t="shared" si="12"/>
        <v>11.5625</v>
      </c>
      <c r="H238">
        <v>69</v>
      </c>
      <c r="I238">
        <f t="shared" si="11"/>
        <v>31</v>
      </c>
      <c r="J238">
        <v>185</v>
      </c>
      <c r="K238">
        <v>12</v>
      </c>
    </row>
    <row r="239" spans="7:13" x14ac:dyDescent="0.25">
      <c r="G239">
        <f t="shared" si="12"/>
        <v>12.1875</v>
      </c>
      <c r="H239">
        <v>61.57</v>
      </c>
      <c r="I239">
        <f t="shared" si="11"/>
        <v>38.43</v>
      </c>
      <c r="J239">
        <v>195</v>
      </c>
      <c r="K239">
        <v>13</v>
      </c>
    </row>
    <row r="240" spans="7:13" x14ac:dyDescent="0.25">
      <c r="G240">
        <f t="shared" si="12"/>
        <v>12.812499999999998</v>
      </c>
      <c r="H240">
        <v>59</v>
      </c>
      <c r="I240">
        <f t="shared" si="11"/>
        <v>41</v>
      </c>
      <c r="J240">
        <v>205</v>
      </c>
      <c r="K240">
        <v>14</v>
      </c>
    </row>
    <row r="241" spans="7:13" x14ac:dyDescent="0.25">
      <c r="G241">
        <f t="shared" si="12"/>
        <v>13.4375</v>
      </c>
      <c r="H241">
        <v>52.77</v>
      </c>
      <c r="I241">
        <f t="shared" si="11"/>
        <v>47.23</v>
      </c>
      <c r="J241">
        <v>215</v>
      </c>
      <c r="K241">
        <v>15</v>
      </c>
    </row>
    <row r="242" spans="7:13" x14ac:dyDescent="0.25">
      <c r="G242">
        <f t="shared" si="12"/>
        <v>14.0625</v>
      </c>
      <c r="H242">
        <v>44.93</v>
      </c>
      <c r="I242">
        <f t="shared" si="11"/>
        <v>55.07</v>
      </c>
      <c r="J242">
        <v>225</v>
      </c>
      <c r="K242">
        <v>16</v>
      </c>
    </row>
    <row r="243" spans="7:13" x14ac:dyDescent="0.25">
      <c r="G243">
        <f t="shared" si="12"/>
        <v>14.6875</v>
      </c>
      <c r="H243">
        <v>36.17</v>
      </c>
      <c r="I243">
        <f t="shared" si="11"/>
        <v>63.83</v>
      </c>
      <c r="J243">
        <v>235</v>
      </c>
      <c r="K243">
        <v>17</v>
      </c>
    </row>
    <row r="244" spans="7:13" x14ac:dyDescent="0.25">
      <c r="G244">
        <f t="shared" si="12"/>
        <v>15.312500000000002</v>
      </c>
      <c r="H244">
        <v>29.8</v>
      </c>
      <c r="I244">
        <f t="shared" si="11"/>
        <v>70.2</v>
      </c>
      <c r="J244">
        <v>245</v>
      </c>
      <c r="K244">
        <v>18</v>
      </c>
    </row>
    <row r="245" spans="7:13" x14ac:dyDescent="0.25">
      <c r="G245">
        <f t="shared" si="12"/>
        <v>15.937499999999998</v>
      </c>
      <c r="H245">
        <v>20.47</v>
      </c>
      <c r="I245">
        <f t="shared" si="11"/>
        <v>79.53</v>
      </c>
      <c r="J245">
        <v>255</v>
      </c>
      <c r="K245">
        <v>19</v>
      </c>
    </row>
    <row r="246" spans="7:13" x14ac:dyDescent="0.25">
      <c r="G246">
        <f t="shared" si="12"/>
        <v>16.5625</v>
      </c>
      <c r="H246">
        <v>15.13</v>
      </c>
      <c r="I246">
        <f t="shared" si="11"/>
        <v>84.87</v>
      </c>
      <c r="J246">
        <v>265</v>
      </c>
      <c r="K246">
        <v>20</v>
      </c>
    </row>
    <row r="247" spans="7:13" x14ac:dyDescent="0.25">
      <c r="G247">
        <f t="shared" si="12"/>
        <v>17.1875</v>
      </c>
      <c r="H247">
        <v>9.17</v>
      </c>
      <c r="I247">
        <f t="shared" si="11"/>
        <v>90.83</v>
      </c>
      <c r="J247">
        <v>275</v>
      </c>
      <c r="K247">
        <v>21</v>
      </c>
    </row>
    <row r="248" spans="7:13" x14ac:dyDescent="0.25">
      <c r="G248">
        <f t="shared" si="12"/>
        <v>17.8125</v>
      </c>
      <c r="H248">
        <v>4.2699999999999996</v>
      </c>
      <c r="I248">
        <f t="shared" si="11"/>
        <v>95.73</v>
      </c>
      <c r="J248">
        <v>285</v>
      </c>
      <c r="K248">
        <v>22</v>
      </c>
    </row>
    <row r="249" spans="7:13" x14ac:dyDescent="0.25">
      <c r="G249">
        <f t="shared" si="12"/>
        <v>18.4375</v>
      </c>
      <c r="H249">
        <v>2.57</v>
      </c>
      <c r="I249">
        <f t="shared" ref="I249:I264" si="13">100-H249</f>
        <v>97.43</v>
      </c>
      <c r="J249">
        <v>295</v>
      </c>
      <c r="K249">
        <v>23</v>
      </c>
    </row>
    <row r="250" spans="7:13" x14ac:dyDescent="0.25">
      <c r="G250">
        <f t="shared" si="12"/>
        <v>19.0625</v>
      </c>
      <c r="H250">
        <v>0.87</v>
      </c>
      <c r="I250">
        <f t="shared" si="13"/>
        <v>99.13</v>
      </c>
      <c r="J250">
        <v>305</v>
      </c>
      <c r="K250">
        <v>24</v>
      </c>
    </row>
    <row r="253" spans="7:13" ht="21" x14ac:dyDescent="0.25">
      <c r="L253" s="1" t="s">
        <v>0</v>
      </c>
      <c r="M253" s="2" t="s">
        <v>1</v>
      </c>
    </row>
    <row r="254" spans="7:13" ht="15.75" thickBot="1" x14ac:dyDescent="0.3">
      <c r="L254" s="3">
        <v>2025</v>
      </c>
      <c r="M254" s="3" t="s">
        <v>14</v>
      </c>
    </row>
    <row r="255" spans="7:13" ht="22.5" thickTop="1" thickBot="1" x14ac:dyDescent="0.3">
      <c r="G255" s="4" t="s">
        <v>3</v>
      </c>
      <c r="H255" s="5" t="s">
        <v>4</v>
      </c>
      <c r="I255" s="6" t="s">
        <v>5</v>
      </c>
      <c r="J255" s="7" t="s">
        <v>6</v>
      </c>
      <c r="K255" s="8" t="s">
        <v>7</v>
      </c>
    </row>
    <row r="256" spans="7:13" ht="15.75" thickTop="1" x14ac:dyDescent="0.25">
      <c r="G256">
        <f>(J256/$L$254)*100</f>
        <v>5.9259259259259265</v>
      </c>
      <c r="H256">
        <v>96.87</v>
      </c>
      <c r="I256">
        <f>100-H256</f>
        <v>3.1299999999999955</v>
      </c>
      <c r="J256">
        <v>120</v>
      </c>
      <c r="K256">
        <v>1</v>
      </c>
    </row>
    <row r="257" spans="7:11" x14ac:dyDescent="0.25">
      <c r="G257">
        <f t="shared" ref="G257:G280" si="14">(J257/$L$254)*100</f>
        <v>6.4197530864197532</v>
      </c>
      <c r="H257">
        <v>96.13</v>
      </c>
      <c r="I257">
        <f t="shared" ref="I257:I280" si="15">100-H257</f>
        <v>3.8700000000000045</v>
      </c>
      <c r="J257">
        <v>130</v>
      </c>
      <c r="K257">
        <v>2</v>
      </c>
    </row>
    <row r="258" spans="7:11" x14ac:dyDescent="0.25">
      <c r="G258">
        <f t="shared" si="14"/>
        <v>6.9135802469135799</v>
      </c>
      <c r="H258">
        <v>95</v>
      </c>
      <c r="I258">
        <f t="shared" si="15"/>
        <v>5</v>
      </c>
      <c r="J258">
        <v>140</v>
      </c>
      <c r="K258">
        <v>3</v>
      </c>
    </row>
    <row r="259" spans="7:11" x14ac:dyDescent="0.25">
      <c r="G259">
        <f t="shared" si="14"/>
        <v>7.4074074074074066</v>
      </c>
      <c r="H259">
        <v>93.33</v>
      </c>
      <c r="I259">
        <f t="shared" si="15"/>
        <v>6.6700000000000017</v>
      </c>
      <c r="J259">
        <v>150</v>
      </c>
      <c r="K259">
        <v>4</v>
      </c>
    </row>
    <row r="260" spans="7:11" x14ac:dyDescent="0.25">
      <c r="G260">
        <f t="shared" si="14"/>
        <v>7.9012345679012341</v>
      </c>
      <c r="H260">
        <v>91.13</v>
      </c>
      <c r="I260">
        <f t="shared" si="15"/>
        <v>8.8700000000000045</v>
      </c>
      <c r="J260">
        <v>160</v>
      </c>
      <c r="K260">
        <v>5</v>
      </c>
    </row>
    <row r="261" spans="7:11" x14ac:dyDescent="0.25">
      <c r="G261">
        <f t="shared" si="14"/>
        <v>8.3950617283950617</v>
      </c>
      <c r="H261">
        <v>90.5</v>
      </c>
      <c r="I261">
        <f t="shared" si="15"/>
        <v>9.5</v>
      </c>
      <c r="J261">
        <v>170</v>
      </c>
      <c r="K261">
        <v>6</v>
      </c>
    </row>
    <row r="262" spans="7:11" x14ac:dyDescent="0.25">
      <c r="G262">
        <f t="shared" si="14"/>
        <v>8.8888888888888893</v>
      </c>
      <c r="H262">
        <v>87.73</v>
      </c>
      <c r="I262">
        <f t="shared" si="15"/>
        <v>12.269999999999996</v>
      </c>
      <c r="J262">
        <v>180</v>
      </c>
      <c r="K262">
        <v>7</v>
      </c>
    </row>
    <row r="263" spans="7:11" x14ac:dyDescent="0.25">
      <c r="G263">
        <f t="shared" si="14"/>
        <v>9.3827160493827169</v>
      </c>
      <c r="H263">
        <v>84.93</v>
      </c>
      <c r="I263">
        <f t="shared" si="15"/>
        <v>15.069999999999993</v>
      </c>
      <c r="J263">
        <v>190</v>
      </c>
      <c r="K263">
        <v>8</v>
      </c>
    </row>
    <row r="264" spans="7:11" x14ac:dyDescent="0.25">
      <c r="G264">
        <f t="shared" si="14"/>
        <v>9.8765432098765427</v>
      </c>
      <c r="H264">
        <v>84.57</v>
      </c>
      <c r="I264">
        <f t="shared" si="15"/>
        <v>15.430000000000007</v>
      </c>
      <c r="J264">
        <v>200</v>
      </c>
      <c r="K264">
        <v>9</v>
      </c>
    </row>
    <row r="265" spans="7:11" x14ac:dyDescent="0.25">
      <c r="G265">
        <f t="shared" si="14"/>
        <v>10.37037037037037</v>
      </c>
      <c r="H265">
        <v>80.599999999999994</v>
      </c>
      <c r="I265">
        <f t="shared" si="15"/>
        <v>19.400000000000006</v>
      </c>
      <c r="J265">
        <v>210</v>
      </c>
      <c r="K265">
        <v>10</v>
      </c>
    </row>
    <row r="266" spans="7:11" x14ac:dyDescent="0.25">
      <c r="G266">
        <f t="shared" si="14"/>
        <v>10.864197530864198</v>
      </c>
      <c r="H266">
        <v>76.97</v>
      </c>
      <c r="I266">
        <f t="shared" si="15"/>
        <v>23.03</v>
      </c>
      <c r="J266">
        <v>220</v>
      </c>
      <c r="K266">
        <v>11</v>
      </c>
    </row>
    <row r="267" spans="7:11" x14ac:dyDescent="0.25">
      <c r="G267">
        <f t="shared" si="14"/>
        <v>11.358024691358025</v>
      </c>
      <c r="H267">
        <v>72.900000000000006</v>
      </c>
      <c r="I267">
        <f t="shared" si="15"/>
        <v>27.099999999999994</v>
      </c>
      <c r="J267">
        <v>230</v>
      </c>
      <c r="K267">
        <v>12</v>
      </c>
    </row>
    <row r="268" spans="7:11" x14ac:dyDescent="0.25">
      <c r="G268">
        <f t="shared" si="14"/>
        <v>11.851851851851853</v>
      </c>
      <c r="H268">
        <v>67.37</v>
      </c>
      <c r="I268">
        <f t="shared" si="15"/>
        <v>32.629999999999995</v>
      </c>
      <c r="J268">
        <v>240</v>
      </c>
      <c r="K268">
        <v>13</v>
      </c>
    </row>
    <row r="269" spans="7:11" x14ac:dyDescent="0.25">
      <c r="G269">
        <f t="shared" si="14"/>
        <v>12.345679012345679</v>
      </c>
      <c r="H269">
        <v>63.07</v>
      </c>
      <c r="I269">
        <f t="shared" si="15"/>
        <v>36.93</v>
      </c>
      <c r="J269">
        <v>250</v>
      </c>
      <c r="K269">
        <v>14</v>
      </c>
    </row>
    <row r="270" spans="7:11" x14ac:dyDescent="0.25">
      <c r="G270">
        <f t="shared" si="14"/>
        <v>12.839506172839506</v>
      </c>
      <c r="H270">
        <v>56.77</v>
      </c>
      <c r="I270">
        <f t="shared" si="15"/>
        <v>43.23</v>
      </c>
      <c r="J270">
        <v>260</v>
      </c>
      <c r="K270">
        <v>15</v>
      </c>
    </row>
    <row r="271" spans="7:11" x14ac:dyDescent="0.25">
      <c r="G271">
        <f t="shared" si="14"/>
        <v>13.333333333333334</v>
      </c>
      <c r="H271">
        <v>51.83</v>
      </c>
      <c r="I271">
        <f t="shared" si="15"/>
        <v>48.17</v>
      </c>
      <c r="J271">
        <v>270</v>
      </c>
      <c r="K271">
        <v>16</v>
      </c>
    </row>
    <row r="272" spans="7:11" x14ac:dyDescent="0.25">
      <c r="G272">
        <f t="shared" si="14"/>
        <v>13.82716049382716</v>
      </c>
      <c r="H272">
        <v>44.93</v>
      </c>
      <c r="I272">
        <f t="shared" si="15"/>
        <v>55.07</v>
      </c>
      <c r="J272">
        <v>280</v>
      </c>
      <c r="K272">
        <v>17</v>
      </c>
    </row>
    <row r="273" spans="7:13" x14ac:dyDescent="0.25">
      <c r="G273">
        <f t="shared" si="14"/>
        <v>14.320987654320987</v>
      </c>
      <c r="H273">
        <v>37.93</v>
      </c>
      <c r="I273">
        <f t="shared" si="15"/>
        <v>62.07</v>
      </c>
      <c r="J273">
        <v>290</v>
      </c>
      <c r="K273">
        <v>18</v>
      </c>
    </row>
    <row r="274" spans="7:13" x14ac:dyDescent="0.25">
      <c r="G274">
        <f t="shared" si="14"/>
        <v>14.814814814814813</v>
      </c>
      <c r="H274">
        <v>31.1</v>
      </c>
      <c r="I274">
        <f t="shared" si="15"/>
        <v>68.900000000000006</v>
      </c>
      <c r="J274">
        <v>300</v>
      </c>
      <c r="K274">
        <v>19</v>
      </c>
    </row>
    <row r="275" spans="7:13" x14ac:dyDescent="0.25">
      <c r="G275">
        <f t="shared" si="14"/>
        <v>15.308641975308642</v>
      </c>
      <c r="H275">
        <v>25.83</v>
      </c>
      <c r="I275">
        <f t="shared" si="15"/>
        <v>74.17</v>
      </c>
      <c r="J275">
        <v>310</v>
      </c>
      <c r="K275">
        <v>20</v>
      </c>
    </row>
    <row r="276" spans="7:13" x14ac:dyDescent="0.25">
      <c r="G276">
        <f t="shared" si="14"/>
        <v>15.802469135802468</v>
      </c>
      <c r="H276">
        <v>18.13</v>
      </c>
      <c r="I276">
        <f t="shared" si="15"/>
        <v>81.87</v>
      </c>
      <c r="J276">
        <v>320</v>
      </c>
      <c r="K276">
        <v>21</v>
      </c>
    </row>
    <row r="277" spans="7:13" x14ac:dyDescent="0.25">
      <c r="G277">
        <f t="shared" si="14"/>
        <v>16.296296296296298</v>
      </c>
      <c r="H277">
        <v>14.63</v>
      </c>
      <c r="I277">
        <f t="shared" si="15"/>
        <v>85.37</v>
      </c>
      <c r="J277">
        <v>330</v>
      </c>
      <c r="K277">
        <v>22</v>
      </c>
    </row>
    <row r="278" spans="7:13" x14ac:dyDescent="0.25">
      <c r="G278">
        <f t="shared" si="14"/>
        <v>16.790123456790123</v>
      </c>
      <c r="H278">
        <v>9.9700000000000006</v>
      </c>
      <c r="I278">
        <f t="shared" si="15"/>
        <v>90.03</v>
      </c>
      <c r="J278">
        <v>340</v>
      </c>
      <c r="K278">
        <v>23</v>
      </c>
    </row>
    <row r="279" spans="7:13" x14ac:dyDescent="0.25">
      <c r="G279">
        <f t="shared" si="14"/>
        <v>17.283950617283949</v>
      </c>
      <c r="H279">
        <v>6.57</v>
      </c>
      <c r="I279">
        <f t="shared" si="15"/>
        <v>93.43</v>
      </c>
      <c r="J279">
        <v>350</v>
      </c>
      <c r="K279">
        <v>24</v>
      </c>
    </row>
    <row r="280" spans="7:13" x14ac:dyDescent="0.25">
      <c r="G280">
        <f t="shared" si="14"/>
        <v>17.777777777777779</v>
      </c>
      <c r="H280">
        <v>3.4</v>
      </c>
      <c r="I280">
        <f t="shared" si="15"/>
        <v>96.6</v>
      </c>
      <c r="J280">
        <v>360</v>
      </c>
      <c r="K280">
        <v>25</v>
      </c>
    </row>
    <row r="283" spans="7:13" ht="21" x14ac:dyDescent="0.25">
      <c r="L283" s="1" t="s">
        <v>0</v>
      </c>
      <c r="M283" s="2" t="s">
        <v>1</v>
      </c>
    </row>
    <row r="284" spans="7:13" ht="15.75" thickBot="1" x14ac:dyDescent="0.3">
      <c r="L284" s="3">
        <v>2500</v>
      </c>
      <c r="M284" s="3" t="s">
        <v>15</v>
      </c>
    </row>
    <row r="285" spans="7:13" ht="22.5" thickTop="1" thickBot="1" x14ac:dyDescent="0.3">
      <c r="G285" s="4" t="s">
        <v>3</v>
      </c>
      <c r="H285" s="5" t="s">
        <v>4</v>
      </c>
      <c r="I285" s="6" t="s">
        <v>5</v>
      </c>
      <c r="J285" s="7" t="s">
        <v>6</v>
      </c>
      <c r="K285" s="8" t="s">
        <v>7</v>
      </c>
    </row>
    <row r="286" spans="7:13" ht="15.75" thickTop="1" x14ac:dyDescent="0.25">
      <c r="G286">
        <f>(J286/$L$284)*100</f>
        <v>7.0000000000000009</v>
      </c>
      <c r="H286">
        <v>93.73</v>
      </c>
      <c r="I286">
        <f>100-H286</f>
        <v>6.269999999999996</v>
      </c>
      <c r="J286">
        <v>175</v>
      </c>
      <c r="K286">
        <v>1</v>
      </c>
    </row>
    <row r="287" spans="7:13" x14ac:dyDescent="0.25">
      <c r="G287">
        <f t="shared" ref="G287:G320" si="16">(J287/$L$284)*100</f>
        <v>7.3999999999999995</v>
      </c>
      <c r="H287">
        <v>94.03</v>
      </c>
      <c r="I287">
        <f t="shared" ref="I287:I320" si="17">100-H287</f>
        <v>5.9699999999999989</v>
      </c>
      <c r="J287">
        <v>185</v>
      </c>
      <c r="K287">
        <v>2</v>
      </c>
    </row>
    <row r="288" spans="7:13" x14ac:dyDescent="0.25">
      <c r="G288">
        <f t="shared" si="16"/>
        <v>7.8</v>
      </c>
      <c r="H288">
        <v>92.53</v>
      </c>
      <c r="I288">
        <f t="shared" si="17"/>
        <v>7.4699999999999989</v>
      </c>
      <c r="J288">
        <v>195</v>
      </c>
      <c r="K288">
        <v>3</v>
      </c>
    </row>
    <row r="289" spans="7:11" x14ac:dyDescent="0.25">
      <c r="G289">
        <f t="shared" si="16"/>
        <v>8.2000000000000011</v>
      </c>
      <c r="H289">
        <v>91.03</v>
      </c>
      <c r="I289">
        <f t="shared" si="17"/>
        <v>8.9699999999999989</v>
      </c>
      <c r="J289">
        <v>205</v>
      </c>
      <c r="K289">
        <v>4</v>
      </c>
    </row>
    <row r="290" spans="7:11" x14ac:dyDescent="0.25">
      <c r="G290">
        <f t="shared" si="16"/>
        <v>8.6</v>
      </c>
      <c r="H290">
        <v>90.6</v>
      </c>
      <c r="I290">
        <f t="shared" si="17"/>
        <v>9.4000000000000057</v>
      </c>
      <c r="J290">
        <v>215</v>
      </c>
      <c r="K290">
        <v>5</v>
      </c>
    </row>
    <row r="291" spans="7:11" x14ac:dyDescent="0.25">
      <c r="G291">
        <f t="shared" si="16"/>
        <v>9</v>
      </c>
      <c r="H291">
        <v>87.2</v>
      </c>
      <c r="I291">
        <f t="shared" si="17"/>
        <v>12.799999999999997</v>
      </c>
      <c r="J291">
        <v>225</v>
      </c>
      <c r="K291">
        <v>6</v>
      </c>
    </row>
    <row r="292" spans="7:11" x14ac:dyDescent="0.25">
      <c r="G292">
        <f t="shared" si="16"/>
        <v>9.4</v>
      </c>
      <c r="H292">
        <v>85.73</v>
      </c>
      <c r="I292">
        <f t="shared" si="17"/>
        <v>14.269999999999996</v>
      </c>
      <c r="J292">
        <v>235</v>
      </c>
      <c r="K292">
        <v>7</v>
      </c>
    </row>
    <row r="293" spans="7:11" x14ac:dyDescent="0.25">
      <c r="G293">
        <f t="shared" si="16"/>
        <v>9.8000000000000007</v>
      </c>
      <c r="H293">
        <v>84.2</v>
      </c>
      <c r="I293">
        <f t="shared" si="17"/>
        <v>15.799999999999997</v>
      </c>
      <c r="J293">
        <v>245</v>
      </c>
      <c r="K293">
        <v>8</v>
      </c>
    </row>
    <row r="294" spans="7:11" x14ac:dyDescent="0.25">
      <c r="G294">
        <f t="shared" si="16"/>
        <v>10.199999999999999</v>
      </c>
      <c r="H294">
        <v>81.3</v>
      </c>
      <c r="I294">
        <f t="shared" si="17"/>
        <v>18.700000000000003</v>
      </c>
      <c r="J294">
        <v>255</v>
      </c>
      <c r="K294">
        <v>9</v>
      </c>
    </row>
    <row r="295" spans="7:11" x14ac:dyDescent="0.25">
      <c r="G295">
        <f t="shared" si="16"/>
        <v>10.6</v>
      </c>
      <c r="H295">
        <v>77.599999999999994</v>
      </c>
      <c r="I295">
        <f t="shared" si="17"/>
        <v>22.400000000000006</v>
      </c>
      <c r="J295">
        <v>265</v>
      </c>
      <c r="K295">
        <v>10</v>
      </c>
    </row>
    <row r="296" spans="7:11" x14ac:dyDescent="0.25">
      <c r="G296">
        <f t="shared" si="16"/>
        <v>11</v>
      </c>
      <c r="H296">
        <v>73.400000000000006</v>
      </c>
      <c r="I296">
        <f t="shared" si="17"/>
        <v>26.599999999999994</v>
      </c>
      <c r="J296">
        <v>275</v>
      </c>
      <c r="K296">
        <v>11</v>
      </c>
    </row>
    <row r="297" spans="7:11" x14ac:dyDescent="0.25">
      <c r="G297">
        <f t="shared" si="16"/>
        <v>11.4</v>
      </c>
      <c r="H297">
        <v>71.569999999999993</v>
      </c>
      <c r="I297">
        <f t="shared" si="17"/>
        <v>28.430000000000007</v>
      </c>
      <c r="J297">
        <v>285</v>
      </c>
      <c r="K297">
        <v>12</v>
      </c>
    </row>
    <row r="298" spans="7:11" x14ac:dyDescent="0.25">
      <c r="G298">
        <f t="shared" si="16"/>
        <v>11.799999999999999</v>
      </c>
      <c r="H298">
        <v>67.900000000000006</v>
      </c>
      <c r="I298">
        <f t="shared" si="17"/>
        <v>32.099999999999994</v>
      </c>
      <c r="J298">
        <v>295</v>
      </c>
      <c r="K298">
        <v>13</v>
      </c>
    </row>
    <row r="299" spans="7:11" x14ac:dyDescent="0.25">
      <c r="G299">
        <f t="shared" si="16"/>
        <v>12.2</v>
      </c>
      <c r="H299">
        <v>61.97</v>
      </c>
      <c r="I299">
        <f t="shared" si="17"/>
        <v>38.03</v>
      </c>
      <c r="J299">
        <v>305</v>
      </c>
      <c r="K299">
        <v>14</v>
      </c>
    </row>
    <row r="300" spans="7:11" x14ac:dyDescent="0.25">
      <c r="G300">
        <f t="shared" si="16"/>
        <v>12.6</v>
      </c>
      <c r="H300">
        <v>59.13</v>
      </c>
      <c r="I300">
        <f t="shared" si="17"/>
        <v>40.869999999999997</v>
      </c>
      <c r="J300">
        <v>315</v>
      </c>
      <c r="K300">
        <v>15</v>
      </c>
    </row>
    <row r="301" spans="7:11" x14ac:dyDescent="0.25">
      <c r="G301">
        <f t="shared" si="16"/>
        <v>13</v>
      </c>
      <c r="H301">
        <v>54.63</v>
      </c>
      <c r="I301">
        <f t="shared" si="17"/>
        <v>45.37</v>
      </c>
      <c r="J301">
        <v>325</v>
      </c>
      <c r="K301">
        <v>16</v>
      </c>
    </row>
    <row r="302" spans="7:11" x14ac:dyDescent="0.25">
      <c r="G302">
        <f t="shared" si="16"/>
        <v>13.4</v>
      </c>
      <c r="H302">
        <v>47.3</v>
      </c>
      <c r="I302">
        <f t="shared" si="17"/>
        <v>52.7</v>
      </c>
      <c r="J302">
        <v>335</v>
      </c>
      <c r="K302">
        <v>17</v>
      </c>
    </row>
    <row r="303" spans="7:11" x14ac:dyDescent="0.25">
      <c r="G303">
        <f t="shared" si="16"/>
        <v>13.8</v>
      </c>
      <c r="H303">
        <v>42.9</v>
      </c>
      <c r="I303">
        <f t="shared" si="17"/>
        <v>57.1</v>
      </c>
      <c r="J303">
        <v>345</v>
      </c>
      <c r="K303">
        <v>18</v>
      </c>
    </row>
    <row r="304" spans="7:11" x14ac:dyDescent="0.25">
      <c r="G304">
        <f t="shared" si="16"/>
        <v>14.2</v>
      </c>
      <c r="H304">
        <v>37.6</v>
      </c>
      <c r="I304">
        <f t="shared" si="17"/>
        <v>62.4</v>
      </c>
      <c r="J304">
        <v>355</v>
      </c>
      <c r="K304">
        <v>19</v>
      </c>
    </row>
    <row r="305" spans="7:11" x14ac:dyDescent="0.25">
      <c r="G305">
        <f t="shared" si="16"/>
        <v>14.6</v>
      </c>
      <c r="H305">
        <v>33.770000000000003</v>
      </c>
      <c r="I305">
        <f t="shared" si="17"/>
        <v>66.22999999999999</v>
      </c>
      <c r="J305">
        <v>365</v>
      </c>
      <c r="K305">
        <v>20</v>
      </c>
    </row>
    <row r="306" spans="7:11" x14ac:dyDescent="0.25">
      <c r="G306">
        <f t="shared" si="16"/>
        <v>15</v>
      </c>
      <c r="H306">
        <v>28.47</v>
      </c>
      <c r="I306">
        <f t="shared" si="17"/>
        <v>71.53</v>
      </c>
      <c r="J306">
        <v>375</v>
      </c>
      <c r="K306">
        <v>21</v>
      </c>
    </row>
    <row r="307" spans="7:11" x14ac:dyDescent="0.25">
      <c r="G307">
        <f t="shared" si="16"/>
        <v>15.4</v>
      </c>
      <c r="H307">
        <v>22.93</v>
      </c>
      <c r="I307">
        <f t="shared" si="17"/>
        <v>77.069999999999993</v>
      </c>
      <c r="J307">
        <v>385</v>
      </c>
      <c r="K307">
        <v>22</v>
      </c>
    </row>
    <row r="308" spans="7:11" x14ac:dyDescent="0.25">
      <c r="G308">
        <f t="shared" si="16"/>
        <v>15.8</v>
      </c>
      <c r="H308">
        <v>18.899999999999999</v>
      </c>
      <c r="I308">
        <f t="shared" si="17"/>
        <v>81.099999999999994</v>
      </c>
      <c r="J308">
        <v>395</v>
      </c>
      <c r="K308">
        <v>23</v>
      </c>
    </row>
    <row r="309" spans="7:11" x14ac:dyDescent="0.25">
      <c r="G309">
        <f t="shared" si="16"/>
        <v>16.2</v>
      </c>
      <c r="H309">
        <v>15.1</v>
      </c>
      <c r="I309">
        <f t="shared" si="17"/>
        <v>84.9</v>
      </c>
      <c r="J309">
        <v>405</v>
      </c>
      <c r="K309">
        <v>24</v>
      </c>
    </row>
    <row r="310" spans="7:11" x14ac:dyDescent="0.25">
      <c r="G310">
        <f t="shared" si="16"/>
        <v>16.600000000000001</v>
      </c>
      <c r="H310">
        <v>11.6</v>
      </c>
      <c r="I310">
        <f t="shared" si="17"/>
        <v>88.4</v>
      </c>
      <c r="J310">
        <v>415</v>
      </c>
      <c r="K310">
        <v>25</v>
      </c>
    </row>
    <row r="311" spans="7:11" x14ac:dyDescent="0.25">
      <c r="G311">
        <f t="shared" si="16"/>
        <v>17</v>
      </c>
      <c r="H311">
        <v>8.1300000000000008</v>
      </c>
      <c r="I311">
        <f t="shared" si="17"/>
        <v>91.87</v>
      </c>
      <c r="J311">
        <v>425</v>
      </c>
      <c r="K311">
        <v>26</v>
      </c>
    </row>
    <row r="312" spans="7:11" x14ac:dyDescent="0.25">
      <c r="G312">
        <f t="shared" si="16"/>
        <v>17.399999999999999</v>
      </c>
      <c r="H312">
        <v>5.43</v>
      </c>
      <c r="I312">
        <f t="shared" si="17"/>
        <v>94.57</v>
      </c>
      <c r="J312">
        <v>435</v>
      </c>
      <c r="K312">
        <v>27</v>
      </c>
    </row>
    <row r="313" spans="7:11" x14ac:dyDescent="0.25">
      <c r="G313">
        <f t="shared" si="16"/>
        <v>17.8</v>
      </c>
      <c r="H313">
        <v>3.7</v>
      </c>
      <c r="I313">
        <f t="shared" si="17"/>
        <v>96.3</v>
      </c>
      <c r="J313">
        <v>445</v>
      </c>
      <c r="K313">
        <v>28</v>
      </c>
    </row>
    <row r="314" spans="7:11" x14ac:dyDescent="0.25">
      <c r="G314">
        <f t="shared" si="16"/>
        <v>18.2</v>
      </c>
      <c r="H314">
        <v>1.7</v>
      </c>
      <c r="I314">
        <f t="shared" si="17"/>
        <v>98.3</v>
      </c>
      <c r="J314">
        <v>455</v>
      </c>
      <c r="K314">
        <v>29</v>
      </c>
    </row>
    <row r="315" spans="7:11" x14ac:dyDescent="0.25">
      <c r="G315">
        <f t="shared" si="16"/>
        <v>18.600000000000001</v>
      </c>
      <c r="H315">
        <v>0.9</v>
      </c>
      <c r="I315">
        <f t="shared" si="17"/>
        <v>99.1</v>
      </c>
      <c r="J315">
        <v>465</v>
      </c>
      <c r="K315">
        <v>30</v>
      </c>
    </row>
    <row r="316" spans="7:11" x14ac:dyDescent="0.25">
      <c r="G316">
        <f t="shared" si="16"/>
        <v>19</v>
      </c>
      <c r="H316">
        <v>0.43</v>
      </c>
      <c r="I316">
        <f t="shared" si="17"/>
        <v>99.57</v>
      </c>
      <c r="J316">
        <v>475</v>
      </c>
      <c r="K316">
        <v>31</v>
      </c>
    </row>
    <row r="317" spans="7:11" x14ac:dyDescent="0.25">
      <c r="G317">
        <f t="shared" si="16"/>
        <v>19.400000000000002</v>
      </c>
      <c r="H317">
        <v>0.33</v>
      </c>
      <c r="I317">
        <f t="shared" si="17"/>
        <v>99.67</v>
      </c>
      <c r="J317">
        <v>485</v>
      </c>
      <c r="K317">
        <v>32</v>
      </c>
    </row>
    <row r="318" spans="7:11" x14ac:dyDescent="0.25">
      <c r="G318">
        <f t="shared" si="16"/>
        <v>19.8</v>
      </c>
      <c r="H318">
        <v>0.03</v>
      </c>
      <c r="I318">
        <f t="shared" si="17"/>
        <v>99.97</v>
      </c>
      <c r="J318">
        <v>495</v>
      </c>
      <c r="K318">
        <v>33</v>
      </c>
    </row>
    <row r="319" spans="7:11" x14ac:dyDescent="0.25">
      <c r="G319">
        <f t="shared" si="16"/>
        <v>20.200000000000003</v>
      </c>
      <c r="H319">
        <v>0</v>
      </c>
      <c r="I319">
        <f t="shared" si="17"/>
        <v>100</v>
      </c>
      <c r="J319">
        <v>505</v>
      </c>
      <c r="K319">
        <v>34</v>
      </c>
    </row>
    <row r="320" spans="7:11" x14ac:dyDescent="0.25">
      <c r="G320">
        <f t="shared" si="16"/>
        <v>20.599999999999998</v>
      </c>
      <c r="H320">
        <v>0</v>
      </c>
      <c r="I320">
        <f t="shared" si="17"/>
        <v>100</v>
      </c>
      <c r="J320">
        <v>515</v>
      </c>
      <c r="K320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</dc:creator>
  <cp:lastModifiedBy>Alon Yehezkel</cp:lastModifiedBy>
  <dcterms:created xsi:type="dcterms:W3CDTF">2015-06-05T18:17:20Z</dcterms:created>
  <dcterms:modified xsi:type="dcterms:W3CDTF">2025-10-24T20:23:07Z</dcterms:modified>
</cp:coreProperties>
</file>