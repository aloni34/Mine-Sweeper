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\PycharmProjects\pythonProject\MineSweeper\Data\"/>
    </mc:Choice>
  </mc:AlternateContent>
  <xr:revisionPtr revIDLastSave="0" documentId="13_ncr:1_{A19FA6C1-04E7-4964-A793-4A30F22BC568}" xr6:coauthVersionLast="47" xr6:coauthVersionMax="47" xr10:uidLastSave="{00000000-0000-0000-0000-000000000000}"/>
  <bookViews>
    <workbookView xWindow="-120" yWindow="-120" windowWidth="29040" windowHeight="15720" xr2:uid="{686AA8D6-ED0A-44C1-8B4D-8DC388397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167" i="1" l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66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44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22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00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68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36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4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H285" i="1"/>
  <c r="F285" i="1"/>
  <c r="H284" i="1"/>
  <c r="F284" i="1"/>
  <c r="H283" i="1"/>
  <c r="F283" i="1"/>
  <c r="H282" i="1"/>
  <c r="F282" i="1"/>
  <c r="H281" i="1"/>
  <c r="F281" i="1"/>
  <c r="H280" i="1"/>
  <c r="F280" i="1"/>
  <c r="H279" i="1"/>
  <c r="F279" i="1"/>
  <c r="H278" i="1"/>
  <c r="F278" i="1"/>
  <c r="H277" i="1"/>
  <c r="F277" i="1"/>
  <c r="H276" i="1"/>
  <c r="F276" i="1"/>
  <c r="H275" i="1"/>
  <c r="F275" i="1"/>
  <c r="H274" i="1"/>
  <c r="F274" i="1"/>
  <c r="H273" i="1"/>
  <c r="F273" i="1"/>
  <c r="H272" i="1"/>
  <c r="F272" i="1"/>
  <c r="H271" i="1"/>
  <c r="F271" i="1"/>
  <c r="H270" i="1"/>
  <c r="F270" i="1"/>
  <c r="H269" i="1"/>
  <c r="F269" i="1"/>
  <c r="H268" i="1"/>
  <c r="F268" i="1"/>
  <c r="H267" i="1"/>
  <c r="F267" i="1"/>
  <c r="H266" i="1"/>
  <c r="F266" i="1"/>
  <c r="H265" i="1"/>
  <c r="F265" i="1"/>
  <c r="H264" i="1"/>
  <c r="F264" i="1"/>
  <c r="H263" i="1"/>
  <c r="F263" i="1"/>
  <c r="H262" i="1"/>
  <c r="F262" i="1"/>
  <c r="H261" i="1"/>
  <c r="F261" i="1"/>
  <c r="H260" i="1"/>
  <c r="F260" i="1"/>
  <c r="H259" i="1"/>
  <c r="F259" i="1"/>
  <c r="H258" i="1"/>
  <c r="F258" i="1"/>
  <c r="H257" i="1"/>
  <c r="F257" i="1"/>
  <c r="H256" i="1"/>
  <c r="F256" i="1"/>
  <c r="H255" i="1"/>
  <c r="F255" i="1"/>
  <c r="H254" i="1"/>
  <c r="F254" i="1"/>
  <c r="H253" i="1"/>
  <c r="F253" i="1"/>
  <c r="H252" i="1"/>
  <c r="F252" i="1"/>
  <c r="H251" i="1"/>
  <c r="F251" i="1"/>
  <c r="H250" i="1"/>
  <c r="F250" i="1"/>
  <c r="H249" i="1"/>
  <c r="F249" i="1"/>
  <c r="H248" i="1"/>
  <c r="F248" i="1"/>
  <c r="H247" i="1"/>
  <c r="F247" i="1"/>
  <c r="H246" i="1"/>
  <c r="F246" i="1"/>
  <c r="H245" i="1"/>
  <c r="F245" i="1"/>
  <c r="H244" i="1"/>
  <c r="F244" i="1"/>
  <c r="H243" i="1"/>
  <c r="F243" i="1"/>
  <c r="H242" i="1"/>
  <c r="F242" i="1"/>
  <c r="H241" i="1"/>
  <c r="F241" i="1"/>
  <c r="H240" i="1"/>
  <c r="F240" i="1"/>
  <c r="H239" i="1"/>
  <c r="F239" i="1"/>
  <c r="H238" i="1"/>
  <c r="F238" i="1"/>
  <c r="H237" i="1"/>
  <c r="F237" i="1"/>
  <c r="H236" i="1"/>
  <c r="F236" i="1"/>
  <c r="H235" i="1"/>
  <c r="F235" i="1"/>
  <c r="H234" i="1"/>
  <c r="F234" i="1"/>
  <c r="H233" i="1"/>
  <c r="F233" i="1"/>
  <c r="H232" i="1"/>
  <c r="F232" i="1"/>
  <c r="H231" i="1"/>
  <c r="F231" i="1"/>
  <c r="H230" i="1"/>
  <c r="F230" i="1"/>
  <c r="H229" i="1"/>
  <c r="F229" i="1"/>
  <c r="H228" i="1"/>
  <c r="F228" i="1"/>
  <c r="H227" i="1"/>
  <c r="F227" i="1"/>
  <c r="H226" i="1"/>
  <c r="F226" i="1"/>
  <c r="H225" i="1"/>
  <c r="F225" i="1"/>
  <c r="H224" i="1"/>
  <c r="F224" i="1"/>
  <c r="H223" i="1"/>
  <c r="F223" i="1"/>
  <c r="H222" i="1"/>
  <c r="F222" i="1"/>
  <c r="H221" i="1"/>
  <c r="F221" i="1"/>
  <c r="H220" i="1"/>
  <c r="F220" i="1"/>
  <c r="H219" i="1"/>
  <c r="F219" i="1"/>
  <c r="H218" i="1"/>
  <c r="F218" i="1"/>
  <c r="H217" i="1"/>
  <c r="F217" i="1"/>
  <c r="H216" i="1"/>
  <c r="F216" i="1"/>
  <c r="H215" i="1"/>
  <c r="F215" i="1"/>
  <c r="H207" i="1"/>
  <c r="F207" i="1"/>
  <c r="H206" i="1"/>
  <c r="F206" i="1"/>
  <c r="H205" i="1"/>
  <c r="F205" i="1"/>
  <c r="H204" i="1"/>
  <c r="F204" i="1"/>
  <c r="H203" i="1"/>
  <c r="F203" i="1"/>
  <c r="H202" i="1"/>
  <c r="F202" i="1"/>
  <c r="H201" i="1"/>
  <c r="F201" i="1"/>
  <c r="H200" i="1"/>
  <c r="F200" i="1"/>
  <c r="H199" i="1"/>
  <c r="F199" i="1"/>
  <c r="H198" i="1"/>
  <c r="F198" i="1"/>
  <c r="H197" i="1"/>
  <c r="F197" i="1"/>
  <c r="H196" i="1"/>
  <c r="F196" i="1"/>
  <c r="H195" i="1"/>
  <c r="F195" i="1"/>
  <c r="H194" i="1"/>
  <c r="F194" i="1"/>
  <c r="H193" i="1"/>
  <c r="F193" i="1"/>
  <c r="H192" i="1"/>
  <c r="F192" i="1"/>
  <c r="H191" i="1"/>
  <c r="F191" i="1"/>
  <c r="H190" i="1"/>
  <c r="F190" i="1"/>
  <c r="H189" i="1"/>
  <c r="F189" i="1"/>
  <c r="H188" i="1"/>
  <c r="F188" i="1"/>
  <c r="H187" i="1"/>
  <c r="F187" i="1"/>
  <c r="H186" i="1"/>
  <c r="F186" i="1"/>
  <c r="H185" i="1"/>
  <c r="F185" i="1"/>
  <c r="H184" i="1"/>
  <c r="F184" i="1"/>
  <c r="H183" i="1"/>
  <c r="F183" i="1"/>
  <c r="H182" i="1"/>
  <c r="F182" i="1"/>
  <c r="H181" i="1"/>
  <c r="F181" i="1"/>
  <c r="H180" i="1"/>
  <c r="F180" i="1"/>
  <c r="H179" i="1"/>
  <c r="F179" i="1"/>
  <c r="H178" i="1"/>
  <c r="F178" i="1"/>
  <c r="H177" i="1"/>
  <c r="F177" i="1"/>
  <c r="H176" i="1"/>
  <c r="F176" i="1"/>
  <c r="H175" i="1"/>
  <c r="F175" i="1"/>
  <c r="H174" i="1"/>
  <c r="F174" i="1"/>
  <c r="H173" i="1"/>
  <c r="F173" i="1"/>
  <c r="H172" i="1"/>
  <c r="F172" i="1"/>
  <c r="H171" i="1"/>
  <c r="F171" i="1"/>
  <c r="H170" i="1"/>
  <c r="F170" i="1"/>
  <c r="H169" i="1"/>
  <c r="F169" i="1"/>
  <c r="H168" i="1"/>
  <c r="F168" i="1"/>
  <c r="H167" i="1"/>
  <c r="F167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94" i="1"/>
  <c r="R113" i="1"/>
  <c r="R114" i="1"/>
  <c r="R115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P81" i="1"/>
  <c r="R81" i="1"/>
  <c r="P82" i="1"/>
  <c r="R82" i="1"/>
  <c r="P83" i="1"/>
  <c r="R83" i="1"/>
  <c r="P84" i="1"/>
  <c r="R84" i="1"/>
  <c r="P85" i="1"/>
  <c r="R85" i="1"/>
  <c r="P86" i="1"/>
  <c r="R86" i="1"/>
  <c r="P69" i="1"/>
  <c r="P70" i="1"/>
  <c r="P71" i="1"/>
  <c r="P72" i="1"/>
  <c r="P73" i="1"/>
  <c r="P74" i="1"/>
  <c r="P75" i="1"/>
  <c r="P76" i="1"/>
  <c r="P77" i="1"/>
  <c r="P78" i="1"/>
  <c r="P79" i="1"/>
  <c r="P80" i="1"/>
  <c r="P68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P49" i="1"/>
  <c r="P50" i="1"/>
  <c r="P51" i="1"/>
  <c r="P52" i="1"/>
  <c r="P53" i="1"/>
  <c r="P54" i="1"/>
  <c r="P55" i="1"/>
  <c r="P56" i="1"/>
  <c r="P57" i="1"/>
  <c r="P58" i="1"/>
  <c r="P59" i="1"/>
  <c r="P60" i="1"/>
  <c r="P48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P39" i="1"/>
  <c r="R39" i="1"/>
  <c r="P40" i="1"/>
  <c r="R40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10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53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1" i="1"/>
  <c r="H102" i="1"/>
  <c r="H95" i="1"/>
  <c r="H96" i="1"/>
  <c r="H97" i="1"/>
  <c r="H98" i="1"/>
  <c r="H99" i="1"/>
  <c r="H100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" i="1"/>
  <c r="H4" i="1"/>
</calcChain>
</file>

<file path=xl/sharedStrings.xml><?xml version="1.0" encoding="utf-8"?>
<sst xmlns="http://schemas.openxmlformats.org/spreadsheetml/2006/main" count="130" uniqueCount="25">
  <si>
    <t xml:space="preserve">wins </t>
  </si>
  <si>
    <t>loss</t>
  </si>
  <si>
    <t>bombs</t>
  </si>
  <si>
    <t>30 x 30</t>
  </si>
  <si>
    <t>Size Of Board</t>
  </si>
  <si>
    <t>Amount of Cells</t>
  </si>
  <si>
    <t>Percentage of Bombs in the Board (PB)</t>
  </si>
  <si>
    <t>Test Number</t>
  </si>
  <si>
    <t>Current Algorithm:</t>
  </si>
  <si>
    <t>35 x 35</t>
  </si>
  <si>
    <t>40x40</t>
  </si>
  <si>
    <t>10x10</t>
  </si>
  <si>
    <t>15x15</t>
  </si>
  <si>
    <t>20x20</t>
  </si>
  <si>
    <t>25x25</t>
  </si>
  <si>
    <t>45x45</t>
  </si>
  <si>
    <t>50x50</t>
  </si>
  <si>
    <t>20x10</t>
  </si>
  <si>
    <t>30x15</t>
  </si>
  <si>
    <t>40x20</t>
  </si>
  <si>
    <t>50x25</t>
  </si>
  <si>
    <t>60x30</t>
  </si>
  <si>
    <t>70x35</t>
  </si>
  <si>
    <t>80x40</t>
  </si>
  <si>
    <t>Deterministic Statistical Marker - Start Center (DSM-SC)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</si>
</sst>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6"/>
      <color rgb="FF006100"/>
      <name val="Aptos Narrow"/>
      <family val="2"/>
      <scheme val="minor"/>
    </font>
    <font>
      <b/>
      <sz val="16"/>
      <color rgb="FF9C0006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1"/>
      <color rgb="FF7F7F7F"/>
      <name val="Aptos Narrow"/>
      <family val="2"/>
      <scheme val="minor"/>
    </font>
    <font>
      <b/>
      <sz val="16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5" fillId="0" borderId="0" applyNumberFormat="0" applyFill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12">
    <xf numFmtId="0" fontId="0" fillId="0" borderId="0" xfId="0"/>
    <xf numFmtId="0" fontId="6" fillId="2" borderId="1" xfId="1" applyFont="1" applyBorder="1" applyAlignment="1">
      <alignment horizontal="center" vertical="center"/>
    </xf>
    <xf numFmtId="0" fontId="7" fillId="3" borderId="1" xfId="2" applyFont="1" applyBorder="1" applyAlignment="1">
      <alignment horizontal="center" vertical="center"/>
    </xf>
    <xf numFmtId="0" fontId="8" fillId="4" borderId="1" xfId="3" applyFont="1" applyAlignment="1">
      <alignment horizontal="center" vertical="center"/>
    </xf>
    <xf numFmtId="0" fontId="0" fillId="0" borderId="0" xfId="0" applyAlignment="1">
      <alignment horizontal="center"/>
    </xf>
    <xf numFmtId="0" fontId="9" fillId="7" borderId="0" xfId="7" applyFont="1" applyAlignment="1">
      <alignment horizontal="center" vertical="center"/>
    </xf>
    <xf numFmtId="0" fontId="9" fillId="8" borderId="0" xfId="8" applyFont="1" applyAlignment="1">
      <alignment horizontal="center" vertical="center"/>
    </xf>
    <xf numFmtId="0" fontId="9" fillId="5" borderId="0" xfId="5" applyFont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9" fillId="6" borderId="0" xfId="6" applyFont="1" applyAlignment="1">
      <alignment horizontal="center" vertical="center"/>
    </xf>
    <xf numFmtId="0" fontId="11" fillId="4" borderId="1" xfId="3" applyFont="1" applyAlignment="1">
      <alignment horizontal="center" vertical="center"/>
    </xf>
    <xf numFmtId="0" fontId="1" fillId="9" borderId="0" xfId="9" applyAlignment="1">
      <alignment horizontal="center"/>
    </xf>
  </cellXfs>
  <cellStyles count="10">
    <cellStyle name="20% - Accent1" xfId="9" builtinId="30"/>
    <cellStyle name="20% - Accent4" xfId="6" builtinId="42"/>
    <cellStyle name="20% - Accent5" xfId="8" builtinId="46"/>
    <cellStyle name="60% - Accent2" xfId="5" builtinId="36"/>
    <cellStyle name="60% - Accent4" xfId="7" builtinId="44"/>
    <cellStyle name="Bad" xfId="2" builtinId="27"/>
    <cellStyle name="Check Cell" xfId="3" builtinId="23"/>
    <cellStyle name="Explanatory Text" xfId="4" builtinId="53"/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CC00"/>
      <color rgb="FFFFFFCC"/>
      <color rgb="FFFABC6A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PB to Wins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20x10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Sheet1!$AB$4:$AB$28</c:f>
              <c:numCache>
                <c:formatCode>General</c:formatCode>
                <c:ptCount val="25"/>
                <c:pt idx="0">
                  <c:v>2.5</c:v>
                </c:pt>
                <c:pt idx="1">
                  <c:v>3.5000000000000004</c:v>
                </c:pt>
                <c:pt idx="2">
                  <c:v>4.5</c:v>
                </c:pt>
                <c:pt idx="3">
                  <c:v>5.5</c:v>
                </c:pt>
                <c:pt idx="4">
                  <c:v>6.5</c:v>
                </c:pt>
                <c:pt idx="5">
                  <c:v>7.5</c:v>
                </c:pt>
                <c:pt idx="6">
                  <c:v>8.5</c:v>
                </c:pt>
                <c:pt idx="7">
                  <c:v>9.5</c:v>
                </c:pt>
                <c:pt idx="8">
                  <c:v>10.5</c:v>
                </c:pt>
                <c:pt idx="9">
                  <c:v>11.5</c:v>
                </c:pt>
                <c:pt idx="10">
                  <c:v>12.5</c:v>
                </c:pt>
                <c:pt idx="11">
                  <c:v>13.5</c:v>
                </c:pt>
                <c:pt idx="12">
                  <c:v>14.499999999999998</c:v>
                </c:pt>
                <c:pt idx="13">
                  <c:v>15.5</c:v>
                </c:pt>
                <c:pt idx="14">
                  <c:v>16.5</c:v>
                </c:pt>
                <c:pt idx="15">
                  <c:v>17.5</c:v>
                </c:pt>
                <c:pt idx="16">
                  <c:v>18.5</c:v>
                </c:pt>
                <c:pt idx="17">
                  <c:v>19.5</c:v>
                </c:pt>
                <c:pt idx="18">
                  <c:v>20.5</c:v>
                </c:pt>
                <c:pt idx="19">
                  <c:v>21.5</c:v>
                </c:pt>
                <c:pt idx="20">
                  <c:v>22.5</c:v>
                </c:pt>
                <c:pt idx="21">
                  <c:v>23.5</c:v>
                </c:pt>
                <c:pt idx="22">
                  <c:v>24.5</c:v>
                </c:pt>
                <c:pt idx="23">
                  <c:v>25.5</c:v>
                </c:pt>
                <c:pt idx="24">
                  <c:v>26.5</c:v>
                </c:pt>
              </c:numCache>
            </c:numRef>
          </c:xVal>
          <c:yVal>
            <c:numRef>
              <c:f>Sheet1!$AC$4:$AC$28</c:f>
              <c:numCache>
                <c:formatCode>General</c:formatCode>
                <c:ptCount val="25"/>
                <c:pt idx="0">
                  <c:v>99.97</c:v>
                </c:pt>
                <c:pt idx="1">
                  <c:v>99.94</c:v>
                </c:pt>
                <c:pt idx="2">
                  <c:v>99.68</c:v>
                </c:pt>
                <c:pt idx="3">
                  <c:v>99.14</c:v>
                </c:pt>
                <c:pt idx="4">
                  <c:v>98.47</c:v>
                </c:pt>
                <c:pt idx="5">
                  <c:v>97.07</c:v>
                </c:pt>
                <c:pt idx="6">
                  <c:v>95.08</c:v>
                </c:pt>
                <c:pt idx="7">
                  <c:v>91.39</c:v>
                </c:pt>
                <c:pt idx="8">
                  <c:v>87.45</c:v>
                </c:pt>
                <c:pt idx="9">
                  <c:v>81.739999999999995</c:v>
                </c:pt>
                <c:pt idx="10">
                  <c:v>74.849999999999994</c:v>
                </c:pt>
                <c:pt idx="11">
                  <c:v>65.42</c:v>
                </c:pt>
                <c:pt idx="12">
                  <c:v>55.29</c:v>
                </c:pt>
                <c:pt idx="13">
                  <c:v>44.37</c:v>
                </c:pt>
                <c:pt idx="14">
                  <c:v>34.5</c:v>
                </c:pt>
                <c:pt idx="15">
                  <c:v>25.5</c:v>
                </c:pt>
                <c:pt idx="16">
                  <c:v>16.87</c:v>
                </c:pt>
                <c:pt idx="17">
                  <c:v>10.58</c:v>
                </c:pt>
                <c:pt idx="18">
                  <c:v>6.08</c:v>
                </c:pt>
                <c:pt idx="19">
                  <c:v>3.56</c:v>
                </c:pt>
                <c:pt idx="20">
                  <c:v>1.79</c:v>
                </c:pt>
                <c:pt idx="21">
                  <c:v>0.73</c:v>
                </c:pt>
                <c:pt idx="22">
                  <c:v>0.34</c:v>
                </c:pt>
                <c:pt idx="23">
                  <c:v>0.15</c:v>
                </c:pt>
                <c:pt idx="24">
                  <c:v>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88-4BD3-96BF-A9890216C211}"/>
            </c:ext>
          </c:extLst>
        </c:ser>
        <c:ser>
          <c:idx val="1"/>
          <c:order val="1"/>
          <c:tx>
            <c:v>30x15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Sheet1!$AB$36:$AB$60</c:f>
              <c:numCache>
                <c:formatCode>General</c:formatCode>
                <c:ptCount val="25"/>
                <c:pt idx="0">
                  <c:v>2.2222222222222223</c:v>
                </c:pt>
                <c:pt idx="1">
                  <c:v>3.1111111111111112</c:v>
                </c:pt>
                <c:pt idx="2">
                  <c:v>4</c:v>
                </c:pt>
                <c:pt idx="3">
                  <c:v>4.8888888888888893</c:v>
                </c:pt>
                <c:pt idx="4">
                  <c:v>5.7777777777777777</c:v>
                </c:pt>
                <c:pt idx="5">
                  <c:v>6.666666666666667</c:v>
                </c:pt>
                <c:pt idx="6">
                  <c:v>7.5555555555555554</c:v>
                </c:pt>
                <c:pt idx="7">
                  <c:v>8.4444444444444446</c:v>
                </c:pt>
                <c:pt idx="8">
                  <c:v>9.3333333333333339</c:v>
                </c:pt>
                <c:pt idx="9">
                  <c:v>10.222222222222223</c:v>
                </c:pt>
                <c:pt idx="10">
                  <c:v>11.111111111111111</c:v>
                </c:pt>
                <c:pt idx="11">
                  <c:v>12</c:v>
                </c:pt>
                <c:pt idx="12">
                  <c:v>12.888888888888889</c:v>
                </c:pt>
                <c:pt idx="13">
                  <c:v>13.777777777777779</c:v>
                </c:pt>
                <c:pt idx="14">
                  <c:v>14.666666666666666</c:v>
                </c:pt>
                <c:pt idx="15">
                  <c:v>15.555555555555555</c:v>
                </c:pt>
                <c:pt idx="16">
                  <c:v>16.444444444444446</c:v>
                </c:pt>
                <c:pt idx="17">
                  <c:v>17.333333333333336</c:v>
                </c:pt>
                <c:pt idx="18">
                  <c:v>18.222222222222221</c:v>
                </c:pt>
                <c:pt idx="19">
                  <c:v>19.111111111111111</c:v>
                </c:pt>
                <c:pt idx="20">
                  <c:v>20</c:v>
                </c:pt>
                <c:pt idx="21">
                  <c:v>20.888888888888889</c:v>
                </c:pt>
                <c:pt idx="22">
                  <c:v>21.777777777777775</c:v>
                </c:pt>
                <c:pt idx="23">
                  <c:v>22.666666666666664</c:v>
                </c:pt>
                <c:pt idx="24">
                  <c:v>23.555555555555554</c:v>
                </c:pt>
              </c:numCache>
            </c:numRef>
          </c:xVal>
          <c:yVal>
            <c:numRef>
              <c:f>Sheet1!$AC$36:$AC$60</c:f>
              <c:numCache>
                <c:formatCode>General</c:formatCode>
                <c:ptCount val="25"/>
                <c:pt idx="0">
                  <c:v>99.94</c:v>
                </c:pt>
                <c:pt idx="1">
                  <c:v>99.86</c:v>
                </c:pt>
                <c:pt idx="2">
                  <c:v>99.6</c:v>
                </c:pt>
                <c:pt idx="3">
                  <c:v>99.42</c:v>
                </c:pt>
                <c:pt idx="4">
                  <c:v>99</c:v>
                </c:pt>
                <c:pt idx="5">
                  <c:v>98.26</c:v>
                </c:pt>
                <c:pt idx="6">
                  <c:v>96.76</c:v>
                </c:pt>
                <c:pt idx="7">
                  <c:v>94.86</c:v>
                </c:pt>
                <c:pt idx="8">
                  <c:v>92.28</c:v>
                </c:pt>
                <c:pt idx="9">
                  <c:v>88.28</c:v>
                </c:pt>
                <c:pt idx="10">
                  <c:v>84.52</c:v>
                </c:pt>
                <c:pt idx="11">
                  <c:v>78.02</c:v>
                </c:pt>
                <c:pt idx="12">
                  <c:v>70.459999999999994</c:v>
                </c:pt>
                <c:pt idx="13">
                  <c:v>60.32</c:v>
                </c:pt>
                <c:pt idx="14">
                  <c:v>49.7</c:v>
                </c:pt>
                <c:pt idx="15">
                  <c:v>39.6</c:v>
                </c:pt>
                <c:pt idx="16">
                  <c:v>26.1</c:v>
                </c:pt>
                <c:pt idx="17">
                  <c:v>17.62</c:v>
                </c:pt>
                <c:pt idx="18">
                  <c:v>10.4</c:v>
                </c:pt>
                <c:pt idx="19">
                  <c:v>5.52</c:v>
                </c:pt>
                <c:pt idx="20">
                  <c:v>2.44</c:v>
                </c:pt>
                <c:pt idx="21">
                  <c:v>0.86</c:v>
                </c:pt>
                <c:pt idx="22">
                  <c:v>0.3</c:v>
                </c:pt>
                <c:pt idx="23">
                  <c:v>0.06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88-4BD3-96BF-A9890216C211}"/>
            </c:ext>
          </c:extLst>
        </c:ser>
        <c:ser>
          <c:idx val="2"/>
          <c:order val="2"/>
          <c:tx>
            <c:v>40x20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Sheet1!$AB$68:$AB$92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7.0000000000000009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14.000000000000002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28.000000000000004</c:v>
                </c:pt>
                <c:pt idx="24">
                  <c:v>28.999999999999996</c:v>
                </c:pt>
              </c:numCache>
            </c:numRef>
          </c:xVal>
          <c:yVal>
            <c:numRef>
              <c:f>Sheet1!$AC$68:$AC$92</c:f>
              <c:numCache>
                <c:formatCode>General</c:formatCode>
                <c:ptCount val="25"/>
                <c:pt idx="0">
                  <c:v>99.07</c:v>
                </c:pt>
                <c:pt idx="1">
                  <c:v>98.43</c:v>
                </c:pt>
                <c:pt idx="2">
                  <c:v>97.17</c:v>
                </c:pt>
                <c:pt idx="3">
                  <c:v>95.17</c:v>
                </c:pt>
                <c:pt idx="4">
                  <c:v>92.12</c:v>
                </c:pt>
                <c:pt idx="5">
                  <c:v>88.13</c:v>
                </c:pt>
                <c:pt idx="6">
                  <c:v>82.97</c:v>
                </c:pt>
                <c:pt idx="7">
                  <c:v>76.67</c:v>
                </c:pt>
                <c:pt idx="8">
                  <c:v>66.53</c:v>
                </c:pt>
                <c:pt idx="9">
                  <c:v>55.43</c:v>
                </c:pt>
                <c:pt idx="10">
                  <c:v>41.87</c:v>
                </c:pt>
                <c:pt idx="11">
                  <c:v>27.87</c:v>
                </c:pt>
                <c:pt idx="12">
                  <c:v>15.97</c:v>
                </c:pt>
                <c:pt idx="13">
                  <c:v>7.83</c:v>
                </c:pt>
                <c:pt idx="14">
                  <c:v>2.8</c:v>
                </c:pt>
                <c:pt idx="15">
                  <c:v>0.93</c:v>
                </c:pt>
                <c:pt idx="16">
                  <c:v>0.17</c:v>
                </c:pt>
                <c:pt idx="17">
                  <c:v>0.13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88-4BD3-96BF-A9890216C211}"/>
            </c:ext>
          </c:extLst>
        </c:ser>
        <c:ser>
          <c:idx val="3"/>
          <c:order val="3"/>
          <c:tx>
            <c:v>50x25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Sheet1!$AB$100:$AB$114</c:f>
              <c:numCache>
                <c:formatCode>General</c:formatCode>
                <c:ptCount val="15"/>
                <c:pt idx="0">
                  <c:v>4.96</c:v>
                </c:pt>
                <c:pt idx="1">
                  <c:v>6.2399999999999993</c:v>
                </c:pt>
                <c:pt idx="2">
                  <c:v>7.5200000000000005</c:v>
                </c:pt>
                <c:pt idx="3">
                  <c:v>8.7999999999999989</c:v>
                </c:pt>
                <c:pt idx="4">
                  <c:v>10.08</c:v>
                </c:pt>
                <c:pt idx="5">
                  <c:v>11.360000000000001</c:v>
                </c:pt>
                <c:pt idx="6">
                  <c:v>12.64</c:v>
                </c:pt>
                <c:pt idx="7">
                  <c:v>13.919999999999998</c:v>
                </c:pt>
                <c:pt idx="8">
                  <c:v>15.2</c:v>
                </c:pt>
                <c:pt idx="9">
                  <c:v>16.48</c:v>
                </c:pt>
                <c:pt idx="10">
                  <c:v>17.760000000000002</c:v>
                </c:pt>
                <c:pt idx="11">
                  <c:v>19.040000000000003</c:v>
                </c:pt>
                <c:pt idx="12">
                  <c:v>20.32</c:v>
                </c:pt>
                <c:pt idx="13">
                  <c:v>21.6</c:v>
                </c:pt>
                <c:pt idx="14">
                  <c:v>22.88</c:v>
                </c:pt>
              </c:numCache>
            </c:numRef>
          </c:xVal>
          <c:yVal>
            <c:numRef>
              <c:f>Sheet1!$AC$100:$AC$114</c:f>
              <c:numCache>
                <c:formatCode>General</c:formatCode>
                <c:ptCount val="15"/>
                <c:pt idx="0">
                  <c:v>99.3</c:v>
                </c:pt>
                <c:pt idx="1">
                  <c:v>97.83</c:v>
                </c:pt>
                <c:pt idx="2">
                  <c:v>95.4</c:v>
                </c:pt>
                <c:pt idx="3">
                  <c:v>92.67</c:v>
                </c:pt>
                <c:pt idx="4">
                  <c:v>87.23</c:v>
                </c:pt>
                <c:pt idx="5">
                  <c:v>78.23</c:v>
                </c:pt>
                <c:pt idx="6">
                  <c:v>66.930000000000007</c:v>
                </c:pt>
                <c:pt idx="7">
                  <c:v>49.97</c:v>
                </c:pt>
                <c:pt idx="8">
                  <c:v>33.729999999999997</c:v>
                </c:pt>
                <c:pt idx="9">
                  <c:v>19.27</c:v>
                </c:pt>
                <c:pt idx="10">
                  <c:v>8.1</c:v>
                </c:pt>
                <c:pt idx="11">
                  <c:v>1.2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A88-4BD3-96BF-A9890216C211}"/>
            </c:ext>
          </c:extLst>
        </c:ser>
        <c:ser>
          <c:idx val="4"/>
          <c:order val="4"/>
          <c:tx>
            <c:v>60x30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Sheet1!$AB$122:$AB$136</c:f>
              <c:numCache>
                <c:formatCode>General</c:formatCode>
                <c:ptCount val="15"/>
                <c:pt idx="0">
                  <c:v>6.666666666666667</c:v>
                </c:pt>
                <c:pt idx="1">
                  <c:v>7.9444444444444446</c:v>
                </c:pt>
                <c:pt idx="2">
                  <c:v>9.2222222222222214</c:v>
                </c:pt>
                <c:pt idx="3">
                  <c:v>10.5</c:v>
                </c:pt>
                <c:pt idx="4">
                  <c:v>11.777777777777777</c:v>
                </c:pt>
                <c:pt idx="5">
                  <c:v>13.055555555555557</c:v>
                </c:pt>
                <c:pt idx="6">
                  <c:v>14.333333333333334</c:v>
                </c:pt>
                <c:pt idx="7">
                  <c:v>15.611111111111112</c:v>
                </c:pt>
                <c:pt idx="8">
                  <c:v>16.888888888888889</c:v>
                </c:pt>
                <c:pt idx="9">
                  <c:v>18.166666666666668</c:v>
                </c:pt>
                <c:pt idx="10">
                  <c:v>19.444444444444446</c:v>
                </c:pt>
                <c:pt idx="11">
                  <c:v>20.722222222222221</c:v>
                </c:pt>
                <c:pt idx="12">
                  <c:v>22</c:v>
                </c:pt>
                <c:pt idx="13">
                  <c:v>23.277777777777779</c:v>
                </c:pt>
                <c:pt idx="14">
                  <c:v>24.555555555555557</c:v>
                </c:pt>
              </c:numCache>
            </c:numRef>
          </c:xVal>
          <c:yVal>
            <c:numRef>
              <c:f>Sheet1!$AC$122:$AC$136</c:f>
              <c:numCache>
                <c:formatCode>General</c:formatCode>
                <c:ptCount val="15"/>
                <c:pt idx="0">
                  <c:v>97.3</c:v>
                </c:pt>
                <c:pt idx="1">
                  <c:v>94.4</c:v>
                </c:pt>
                <c:pt idx="2">
                  <c:v>90.37</c:v>
                </c:pt>
                <c:pt idx="3">
                  <c:v>81.93</c:v>
                </c:pt>
                <c:pt idx="4">
                  <c:v>74.87</c:v>
                </c:pt>
                <c:pt idx="5">
                  <c:v>64.53</c:v>
                </c:pt>
                <c:pt idx="6">
                  <c:v>47.27</c:v>
                </c:pt>
                <c:pt idx="7">
                  <c:v>27.6</c:v>
                </c:pt>
                <c:pt idx="8">
                  <c:v>12.53</c:v>
                </c:pt>
                <c:pt idx="9">
                  <c:v>3.03</c:v>
                </c:pt>
                <c:pt idx="10">
                  <c:v>0.17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A88-4BD3-96BF-A9890216C211}"/>
            </c:ext>
          </c:extLst>
        </c:ser>
        <c:ser>
          <c:idx val="5"/>
          <c:order val="5"/>
          <c:tx>
            <c:v>70x35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Sheet1!$AB$144:$AB$158</c:f>
              <c:numCache>
                <c:formatCode>General</c:formatCode>
                <c:ptCount val="15"/>
                <c:pt idx="0">
                  <c:v>8.1632653061224492</c:v>
                </c:pt>
                <c:pt idx="1">
                  <c:v>9.387755102040817</c:v>
                </c:pt>
                <c:pt idx="2">
                  <c:v>10.612244897959183</c:v>
                </c:pt>
                <c:pt idx="3">
                  <c:v>11.836734693877551</c:v>
                </c:pt>
                <c:pt idx="4">
                  <c:v>13.061224489795919</c:v>
                </c:pt>
                <c:pt idx="5">
                  <c:v>14.285714285714285</c:v>
                </c:pt>
                <c:pt idx="6">
                  <c:v>15.510204081632653</c:v>
                </c:pt>
                <c:pt idx="7">
                  <c:v>16.73469387755102</c:v>
                </c:pt>
                <c:pt idx="8">
                  <c:v>17.959183673469386</c:v>
                </c:pt>
                <c:pt idx="9">
                  <c:v>19.183673469387756</c:v>
                </c:pt>
                <c:pt idx="10">
                  <c:v>20.408163265306122</c:v>
                </c:pt>
                <c:pt idx="11">
                  <c:v>21.632653061224492</c:v>
                </c:pt>
                <c:pt idx="12">
                  <c:v>22.857142857142858</c:v>
                </c:pt>
                <c:pt idx="13">
                  <c:v>24.081632653061224</c:v>
                </c:pt>
                <c:pt idx="14">
                  <c:v>25.30612244897959</c:v>
                </c:pt>
              </c:numCache>
            </c:numRef>
          </c:xVal>
          <c:yVal>
            <c:numRef>
              <c:f>Sheet1!$AC$144:$AC$158</c:f>
              <c:numCache>
                <c:formatCode>General</c:formatCode>
                <c:ptCount val="15"/>
                <c:pt idx="0">
                  <c:v>95.47</c:v>
                </c:pt>
                <c:pt idx="1">
                  <c:v>90.67</c:v>
                </c:pt>
                <c:pt idx="2">
                  <c:v>83.87</c:v>
                </c:pt>
                <c:pt idx="3">
                  <c:v>73.97</c:v>
                </c:pt>
                <c:pt idx="4">
                  <c:v>59.43</c:v>
                </c:pt>
                <c:pt idx="5">
                  <c:v>41.97</c:v>
                </c:pt>
                <c:pt idx="6">
                  <c:v>24.67</c:v>
                </c:pt>
                <c:pt idx="7">
                  <c:v>11.77</c:v>
                </c:pt>
                <c:pt idx="8">
                  <c:v>2.8</c:v>
                </c:pt>
                <c:pt idx="9">
                  <c:v>0.3</c:v>
                </c:pt>
                <c:pt idx="10">
                  <c:v>0.03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A88-4BD3-96BF-A9890216C211}"/>
            </c:ext>
          </c:extLst>
        </c:ser>
        <c:ser>
          <c:idx val="6"/>
          <c:order val="6"/>
          <c:tx>
            <c:v>80x40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Sheet1!$AB$166:$AB$180</c:f>
              <c:numCache>
                <c:formatCode>General</c:formatCode>
                <c:ptCount val="15"/>
                <c:pt idx="0">
                  <c:v>8.75</c:v>
                </c:pt>
                <c:pt idx="1">
                  <c:v>10.0625</c:v>
                </c:pt>
                <c:pt idx="2">
                  <c:v>11.375</c:v>
                </c:pt>
                <c:pt idx="3">
                  <c:v>12.687499999999998</c:v>
                </c:pt>
                <c:pt idx="4">
                  <c:v>14.000000000000002</c:v>
                </c:pt>
                <c:pt idx="5">
                  <c:v>15.312500000000002</c:v>
                </c:pt>
                <c:pt idx="6">
                  <c:v>16.625</c:v>
                </c:pt>
                <c:pt idx="7">
                  <c:v>17.9375</c:v>
                </c:pt>
                <c:pt idx="8">
                  <c:v>19.25</c:v>
                </c:pt>
                <c:pt idx="9">
                  <c:v>20.5625</c:v>
                </c:pt>
                <c:pt idx="10">
                  <c:v>21.875</c:v>
                </c:pt>
                <c:pt idx="11">
                  <c:v>23.1875</c:v>
                </c:pt>
                <c:pt idx="12">
                  <c:v>24.5</c:v>
                </c:pt>
                <c:pt idx="13">
                  <c:v>25.8125</c:v>
                </c:pt>
                <c:pt idx="14">
                  <c:v>27.125</c:v>
                </c:pt>
              </c:numCache>
            </c:numRef>
          </c:xVal>
          <c:yVal>
            <c:numRef>
              <c:f>Sheet1!$AC$166:$AC$180</c:f>
              <c:numCache>
                <c:formatCode>General</c:formatCode>
                <c:ptCount val="15"/>
                <c:pt idx="0">
                  <c:v>93.13</c:v>
                </c:pt>
                <c:pt idx="1">
                  <c:v>87.4</c:v>
                </c:pt>
                <c:pt idx="2">
                  <c:v>76.099999999999994</c:v>
                </c:pt>
                <c:pt idx="3">
                  <c:v>67.569999999999993</c:v>
                </c:pt>
                <c:pt idx="4">
                  <c:v>51.27</c:v>
                </c:pt>
                <c:pt idx="5">
                  <c:v>29</c:v>
                </c:pt>
                <c:pt idx="6">
                  <c:v>11.43</c:v>
                </c:pt>
                <c:pt idx="7">
                  <c:v>2.13</c:v>
                </c:pt>
                <c:pt idx="8">
                  <c:v>0.2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A88-4BD3-96BF-A9890216C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253872"/>
        <c:axId val="1964254832"/>
      </c:scatterChart>
      <c:valAx>
        <c:axId val="196425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964254832"/>
        <c:crosses val="autoZero"/>
        <c:crossBetween val="midCat"/>
      </c:valAx>
      <c:valAx>
        <c:axId val="196425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Win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964253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PB</a:t>
            </a:r>
            <a:r>
              <a:rPr lang="en-US" baseline="0"/>
              <a:t> to Wins Percentage</a:t>
            </a:r>
            <a:endParaRPr lang="en-US"/>
          </a:p>
        </c:rich>
      </c:tx>
      <c:layout>
        <c:manualLayout>
          <c:xMode val="edge"/>
          <c:yMode val="edge"/>
          <c:x val="0.39933414811698165"/>
          <c:y val="2.7777694346518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10x10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tx1">
                    <a:lumMod val="65000"/>
                    <a:lumOff val="35000"/>
                  </a:schemeClr>
                </a:fgClr>
                <a:bgClr>
                  <a:schemeClr val="bg1"/>
                </a:bgClr>
              </a:patt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Sheet1!$P$4:$P$40</c:f>
              <c:numCache>
                <c:formatCode>General</c:formatCod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7.0000000000000009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14.000000000000002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28.000000000000004</c:v>
                </c:pt>
                <c:pt idx="28">
                  <c:v>28.999999999999996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numCache>
            </c:numRef>
          </c:xVal>
          <c:yVal>
            <c:numRef>
              <c:f>Sheet1!$Q$4:$Q$40</c:f>
              <c:numCache>
                <c:formatCode>General</c:formatCode>
                <c:ptCount val="37"/>
                <c:pt idx="0">
                  <c:v>100</c:v>
                </c:pt>
                <c:pt idx="1">
                  <c:v>100</c:v>
                </c:pt>
                <c:pt idx="2">
                  <c:v>99.97</c:v>
                </c:pt>
                <c:pt idx="3">
                  <c:v>99.91</c:v>
                </c:pt>
                <c:pt idx="4">
                  <c:v>99.67</c:v>
                </c:pt>
                <c:pt idx="5">
                  <c:v>99.22</c:v>
                </c:pt>
                <c:pt idx="6">
                  <c:v>98.56</c:v>
                </c:pt>
                <c:pt idx="7">
                  <c:v>97.2</c:v>
                </c:pt>
                <c:pt idx="8">
                  <c:v>95.41</c:v>
                </c:pt>
                <c:pt idx="9">
                  <c:v>92.86</c:v>
                </c:pt>
                <c:pt idx="10">
                  <c:v>89.36</c:v>
                </c:pt>
                <c:pt idx="11">
                  <c:v>84.77</c:v>
                </c:pt>
                <c:pt idx="12">
                  <c:v>78.73</c:v>
                </c:pt>
                <c:pt idx="13">
                  <c:v>72.05</c:v>
                </c:pt>
                <c:pt idx="14">
                  <c:v>64.209999999999994</c:v>
                </c:pt>
                <c:pt idx="15">
                  <c:v>55.82</c:v>
                </c:pt>
                <c:pt idx="16">
                  <c:v>46.33</c:v>
                </c:pt>
                <c:pt idx="17">
                  <c:v>38.08</c:v>
                </c:pt>
                <c:pt idx="18">
                  <c:v>29.92</c:v>
                </c:pt>
                <c:pt idx="19">
                  <c:v>22.53</c:v>
                </c:pt>
                <c:pt idx="20">
                  <c:v>16.489999999999998</c:v>
                </c:pt>
                <c:pt idx="21">
                  <c:v>12.05</c:v>
                </c:pt>
                <c:pt idx="22">
                  <c:v>8.08</c:v>
                </c:pt>
                <c:pt idx="23">
                  <c:v>5.64</c:v>
                </c:pt>
                <c:pt idx="24">
                  <c:v>3.66</c:v>
                </c:pt>
                <c:pt idx="25">
                  <c:v>2.3199999999999998</c:v>
                </c:pt>
                <c:pt idx="26">
                  <c:v>1.49</c:v>
                </c:pt>
                <c:pt idx="27">
                  <c:v>0.91</c:v>
                </c:pt>
                <c:pt idx="28">
                  <c:v>0.51</c:v>
                </c:pt>
                <c:pt idx="29">
                  <c:v>0.28000000000000003</c:v>
                </c:pt>
                <c:pt idx="30">
                  <c:v>0.15</c:v>
                </c:pt>
                <c:pt idx="31">
                  <c:v>0.1</c:v>
                </c:pt>
                <c:pt idx="32">
                  <c:v>0.04</c:v>
                </c:pt>
                <c:pt idx="33">
                  <c:v>0.05</c:v>
                </c:pt>
                <c:pt idx="34">
                  <c:v>0.02</c:v>
                </c:pt>
                <c:pt idx="35">
                  <c:v>0.02</c:v>
                </c:pt>
                <c:pt idx="36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0B4-4211-9049-3D2793138420}"/>
            </c:ext>
          </c:extLst>
        </c:ser>
        <c:ser>
          <c:idx val="3"/>
          <c:order val="1"/>
          <c:tx>
            <c:v>15x15</c:v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tx1">
                    <a:lumMod val="65000"/>
                    <a:lumOff val="35000"/>
                  </a:schemeClr>
                </a:fgClr>
                <a:bgClr>
                  <a:schemeClr val="bg1"/>
                </a:bgClr>
              </a:pattFill>
              <a:ln w="9525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Sheet1!$P$48:$P$60</c:f>
              <c:numCache>
                <c:formatCode>General</c:formatCode>
                <c:ptCount val="13"/>
                <c:pt idx="0">
                  <c:v>4.4444444444444446</c:v>
                </c:pt>
                <c:pt idx="1">
                  <c:v>6.666666666666667</c:v>
                </c:pt>
                <c:pt idx="2">
                  <c:v>8.8888888888888893</c:v>
                </c:pt>
                <c:pt idx="3">
                  <c:v>11.111111111111111</c:v>
                </c:pt>
                <c:pt idx="4">
                  <c:v>13.333333333333334</c:v>
                </c:pt>
                <c:pt idx="5">
                  <c:v>15.555555555555555</c:v>
                </c:pt>
                <c:pt idx="6">
                  <c:v>17.777777777777779</c:v>
                </c:pt>
                <c:pt idx="7">
                  <c:v>20</c:v>
                </c:pt>
                <c:pt idx="8">
                  <c:v>22.222222222222221</c:v>
                </c:pt>
                <c:pt idx="9">
                  <c:v>24.444444444444443</c:v>
                </c:pt>
                <c:pt idx="10">
                  <c:v>26.666666666666668</c:v>
                </c:pt>
                <c:pt idx="11">
                  <c:v>28.888888888888886</c:v>
                </c:pt>
                <c:pt idx="12">
                  <c:v>31.111111111111111</c:v>
                </c:pt>
              </c:numCache>
            </c:numRef>
          </c:xVal>
          <c:yVal>
            <c:numRef>
              <c:f>Sheet1!$Q$48:$Q$60</c:f>
              <c:numCache>
                <c:formatCode>General</c:formatCode>
                <c:ptCount val="13"/>
                <c:pt idx="0">
                  <c:v>99.63</c:v>
                </c:pt>
                <c:pt idx="1">
                  <c:v>98.27</c:v>
                </c:pt>
                <c:pt idx="2">
                  <c:v>94.96</c:v>
                </c:pt>
                <c:pt idx="3">
                  <c:v>87.01</c:v>
                </c:pt>
                <c:pt idx="4">
                  <c:v>72.41</c:v>
                </c:pt>
                <c:pt idx="5">
                  <c:v>50.01</c:v>
                </c:pt>
                <c:pt idx="6">
                  <c:v>26.48</c:v>
                </c:pt>
                <c:pt idx="7">
                  <c:v>9.58</c:v>
                </c:pt>
                <c:pt idx="8">
                  <c:v>2.15</c:v>
                </c:pt>
                <c:pt idx="9">
                  <c:v>0.39</c:v>
                </c:pt>
                <c:pt idx="10">
                  <c:v>0.03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8C-40E7-B9E5-C0433A73E460}"/>
            </c:ext>
          </c:extLst>
        </c:ser>
        <c:ser>
          <c:idx val="4"/>
          <c:order val="2"/>
          <c:tx>
            <c:v>20x20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tx1"/>
                </a:fgClr>
                <a:bgClr>
                  <a:schemeClr val="bg1"/>
                </a:bgClr>
              </a:patt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Sheet1!$P$68:$P$86</c:f>
              <c:numCache>
                <c:formatCode>General</c:formatCode>
                <c:ptCount val="19"/>
                <c:pt idx="0">
                  <c:v>2.5</c:v>
                </c:pt>
                <c:pt idx="1">
                  <c:v>3.75</c:v>
                </c:pt>
                <c:pt idx="2">
                  <c:v>5</c:v>
                </c:pt>
                <c:pt idx="3">
                  <c:v>6.25</c:v>
                </c:pt>
                <c:pt idx="4">
                  <c:v>7.5</c:v>
                </c:pt>
                <c:pt idx="5">
                  <c:v>8.75</c:v>
                </c:pt>
                <c:pt idx="6">
                  <c:v>10</c:v>
                </c:pt>
                <c:pt idx="7">
                  <c:v>11.25</c:v>
                </c:pt>
                <c:pt idx="8">
                  <c:v>12.5</c:v>
                </c:pt>
                <c:pt idx="9">
                  <c:v>13.750000000000002</c:v>
                </c:pt>
                <c:pt idx="10">
                  <c:v>15</c:v>
                </c:pt>
                <c:pt idx="11">
                  <c:v>16.25</c:v>
                </c:pt>
                <c:pt idx="12">
                  <c:v>17.5</c:v>
                </c:pt>
                <c:pt idx="13">
                  <c:v>18.75</c:v>
                </c:pt>
                <c:pt idx="14">
                  <c:v>20</c:v>
                </c:pt>
                <c:pt idx="15">
                  <c:v>21.25</c:v>
                </c:pt>
                <c:pt idx="16">
                  <c:v>22.5</c:v>
                </c:pt>
                <c:pt idx="17">
                  <c:v>23.75</c:v>
                </c:pt>
                <c:pt idx="18">
                  <c:v>25</c:v>
                </c:pt>
              </c:numCache>
            </c:numRef>
          </c:xVal>
          <c:yVal>
            <c:numRef>
              <c:f>Sheet1!$Q$68:$Q$86</c:f>
              <c:numCache>
                <c:formatCode>General</c:formatCode>
                <c:ptCount val="19"/>
                <c:pt idx="0">
                  <c:v>99.94</c:v>
                </c:pt>
                <c:pt idx="1">
                  <c:v>99.77</c:v>
                </c:pt>
                <c:pt idx="2">
                  <c:v>99.36</c:v>
                </c:pt>
                <c:pt idx="3">
                  <c:v>98.57</c:v>
                </c:pt>
                <c:pt idx="4">
                  <c:v>97.04</c:v>
                </c:pt>
                <c:pt idx="5">
                  <c:v>94.57</c:v>
                </c:pt>
                <c:pt idx="6">
                  <c:v>90.69</c:v>
                </c:pt>
                <c:pt idx="7">
                  <c:v>84.32</c:v>
                </c:pt>
                <c:pt idx="8">
                  <c:v>76.2</c:v>
                </c:pt>
                <c:pt idx="9">
                  <c:v>64.42</c:v>
                </c:pt>
                <c:pt idx="10">
                  <c:v>51.19</c:v>
                </c:pt>
                <c:pt idx="11">
                  <c:v>35.880000000000003</c:v>
                </c:pt>
                <c:pt idx="12">
                  <c:v>21.37</c:v>
                </c:pt>
                <c:pt idx="13">
                  <c:v>10.53</c:v>
                </c:pt>
                <c:pt idx="14">
                  <c:v>4.29</c:v>
                </c:pt>
                <c:pt idx="15">
                  <c:v>1.33</c:v>
                </c:pt>
                <c:pt idx="16">
                  <c:v>0.28000000000000003</c:v>
                </c:pt>
                <c:pt idx="17">
                  <c:v>7.0000000000000007E-2</c:v>
                </c:pt>
                <c:pt idx="18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8C-40E7-B9E5-C0433A73E460}"/>
            </c:ext>
          </c:extLst>
        </c:ser>
        <c:ser>
          <c:idx val="5"/>
          <c:order val="3"/>
          <c:tx>
            <c:v>25x25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tx1">
                    <a:lumMod val="65000"/>
                    <a:lumOff val="35000"/>
                  </a:schemeClr>
                </a:fgClr>
                <a:bgClr>
                  <a:schemeClr val="bg1"/>
                </a:bgClr>
              </a:patt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Sheet1!$P$94:$P$115</c:f>
              <c:numCache>
                <c:formatCode>General</c:formatCode>
                <c:ptCount val="22"/>
                <c:pt idx="0">
                  <c:v>7.1999999999999993</c:v>
                </c:pt>
                <c:pt idx="1">
                  <c:v>8</c:v>
                </c:pt>
                <c:pt idx="2">
                  <c:v>8.7999999999999989</c:v>
                </c:pt>
                <c:pt idx="3">
                  <c:v>9.6</c:v>
                </c:pt>
                <c:pt idx="4">
                  <c:v>10.4</c:v>
                </c:pt>
                <c:pt idx="5">
                  <c:v>11.200000000000001</c:v>
                </c:pt>
                <c:pt idx="6">
                  <c:v>12</c:v>
                </c:pt>
                <c:pt idx="7">
                  <c:v>12.8</c:v>
                </c:pt>
                <c:pt idx="8">
                  <c:v>13.600000000000001</c:v>
                </c:pt>
                <c:pt idx="9">
                  <c:v>14.399999999999999</c:v>
                </c:pt>
                <c:pt idx="10">
                  <c:v>15.2</c:v>
                </c:pt>
                <c:pt idx="11">
                  <c:v>16</c:v>
                </c:pt>
                <c:pt idx="12">
                  <c:v>16.8</c:v>
                </c:pt>
                <c:pt idx="13">
                  <c:v>17.599999999999998</c:v>
                </c:pt>
                <c:pt idx="14">
                  <c:v>18.399999999999999</c:v>
                </c:pt>
                <c:pt idx="15">
                  <c:v>19.2</c:v>
                </c:pt>
                <c:pt idx="16">
                  <c:v>20</c:v>
                </c:pt>
                <c:pt idx="17">
                  <c:v>20.8</c:v>
                </c:pt>
                <c:pt idx="18">
                  <c:v>21.6</c:v>
                </c:pt>
                <c:pt idx="19">
                  <c:v>22.400000000000002</c:v>
                </c:pt>
                <c:pt idx="20">
                  <c:v>23.200000000000003</c:v>
                </c:pt>
                <c:pt idx="21">
                  <c:v>24</c:v>
                </c:pt>
              </c:numCache>
            </c:numRef>
          </c:xVal>
          <c:yVal>
            <c:numRef>
              <c:f>Sheet1!$Q$94:$Q$115</c:f>
              <c:numCache>
                <c:formatCode>General</c:formatCode>
                <c:ptCount val="22"/>
                <c:pt idx="0">
                  <c:v>96.9</c:v>
                </c:pt>
                <c:pt idx="1">
                  <c:v>95.77</c:v>
                </c:pt>
                <c:pt idx="2">
                  <c:v>93.86</c:v>
                </c:pt>
                <c:pt idx="3">
                  <c:v>90.93</c:v>
                </c:pt>
                <c:pt idx="4">
                  <c:v>87.57</c:v>
                </c:pt>
                <c:pt idx="5">
                  <c:v>83.1</c:v>
                </c:pt>
                <c:pt idx="6">
                  <c:v>77.92</c:v>
                </c:pt>
                <c:pt idx="7">
                  <c:v>70.930000000000007</c:v>
                </c:pt>
                <c:pt idx="8">
                  <c:v>64.28</c:v>
                </c:pt>
                <c:pt idx="9">
                  <c:v>53.65</c:v>
                </c:pt>
                <c:pt idx="10">
                  <c:v>45.44</c:v>
                </c:pt>
                <c:pt idx="11">
                  <c:v>34.43</c:v>
                </c:pt>
                <c:pt idx="12">
                  <c:v>23.96</c:v>
                </c:pt>
                <c:pt idx="13">
                  <c:v>15.45</c:v>
                </c:pt>
                <c:pt idx="14">
                  <c:v>9.6</c:v>
                </c:pt>
                <c:pt idx="15">
                  <c:v>4.5999999999999996</c:v>
                </c:pt>
                <c:pt idx="16">
                  <c:v>1.85</c:v>
                </c:pt>
                <c:pt idx="17">
                  <c:v>0.84</c:v>
                </c:pt>
                <c:pt idx="18">
                  <c:v>0.28000000000000003</c:v>
                </c:pt>
                <c:pt idx="19">
                  <c:v>0.09</c:v>
                </c:pt>
                <c:pt idx="20">
                  <c:v>0.02</c:v>
                </c:pt>
                <c:pt idx="2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8C-40E7-B9E5-C0433A73E460}"/>
            </c:ext>
          </c:extLst>
        </c:ser>
        <c:ser>
          <c:idx val="0"/>
          <c:order val="4"/>
          <c:tx>
            <c:v>30x30</c:v>
          </c:tx>
          <c:spPr>
            <a:ln w="19050" cap="rnd">
              <a:solidFill>
                <a:srgbClr val="FFCC00"/>
              </a:soli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tx1"/>
                </a:fgClr>
                <a:bgClr>
                  <a:schemeClr val="bg1"/>
                </a:bgClr>
              </a:pattFill>
              <a:ln w="9525">
                <a:solidFill>
                  <a:srgbClr val="FFCC00"/>
                </a:solidFill>
              </a:ln>
              <a:effectLst/>
            </c:spPr>
          </c:marker>
          <c:xVal>
            <c:numRef>
              <c:f>Sheet1!$F$4:$F$45</c:f>
              <c:numCache>
                <c:formatCode>General</c:formatCode>
                <c:ptCount val="42"/>
                <c:pt idx="0">
                  <c:v>2.5555555555555558</c:v>
                </c:pt>
                <c:pt idx="1">
                  <c:v>3.1111111111111112</c:v>
                </c:pt>
                <c:pt idx="2">
                  <c:v>3.6666666666666665</c:v>
                </c:pt>
                <c:pt idx="3">
                  <c:v>4.2222222222222223</c:v>
                </c:pt>
                <c:pt idx="4">
                  <c:v>4.7777777777777777</c:v>
                </c:pt>
                <c:pt idx="5">
                  <c:v>5.3333333333333339</c:v>
                </c:pt>
                <c:pt idx="6">
                  <c:v>5.8888888888888884</c:v>
                </c:pt>
                <c:pt idx="7">
                  <c:v>6.4444444444444446</c:v>
                </c:pt>
                <c:pt idx="8">
                  <c:v>7.0000000000000009</c:v>
                </c:pt>
                <c:pt idx="9">
                  <c:v>7.5555555555555554</c:v>
                </c:pt>
                <c:pt idx="10">
                  <c:v>8.1111111111111107</c:v>
                </c:pt>
                <c:pt idx="11">
                  <c:v>8.6666666666666679</c:v>
                </c:pt>
                <c:pt idx="12">
                  <c:v>9.2222222222222214</c:v>
                </c:pt>
                <c:pt idx="13">
                  <c:v>9.7777777777777786</c:v>
                </c:pt>
                <c:pt idx="14">
                  <c:v>10.333333333333334</c:v>
                </c:pt>
                <c:pt idx="15">
                  <c:v>10.888888888888888</c:v>
                </c:pt>
                <c:pt idx="16">
                  <c:v>11.444444444444445</c:v>
                </c:pt>
                <c:pt idx="17">
                  <c:v>12</c:v>
                </c:pt>
                <c:pt idx="18">
                  <c:v>12.555555555555555</c:v>
                </c:pt>
                <c:pt idx="19">
                  <c:v>13.111111111111112</c:v>
                </c:pt>
                <c:pt idx="20">
                  <c:v>13.666666666666666</c:v>
                </c:pt>
                <c:pt idx="21">
                  <c:v>14.222222222222221</c:v>
                </c:pt>
                <c:pt idx="22">
                  <c:v>14.777777777777779</c:v>
                </c:pt>
                <c:pt idx="23">
                  <c:v>15.333333333333332</c:v>
                </c:pt>
                <c:pt idx="24">
                  <c:v>15.888888888888889</c:v>
                </c:pt>
                <c:pt idx="25">
                  <c:v>16.444444444444446</c:v>
                </c:pt>
                <c:pt idx="26">
                  <c:v>17</c:v>
                </c:pt>
                <c:pt idx="27">
                  <c:v>17.555555555555554</c:v>
                </c:pt>
                <c:pt idx="28">
                  <c:v>18.111111111111111</c:v>
                </c:pt>
                <c:pt idx="29">
                  <c:v>18.666666666666668</c:v>
                </c:pt>
                <c:pt idx="30">
                  <c:v>19.222222222222221</c:v>
                </c:pt>
                <c:pt idx="31">
                  <c:v>19.777777777777779</c:v>
                </c:pt>
                <c:pt idx="32">
                  <c:v>20.333333333333332</c:v>
                </c:pt>
                <c:pt idx="33">
                  <c:v>20.888888888888889</c:v>
                </c:pt>
                <c:pt idx="34">
                  <c:v>21.444444444444443</c:v>
                </c:pt>
                <c:pt idx="35">
                  <c:v>22</c:v>
                </c:pt>
                <c:pt idx="36">
                  <c:v>22.555555555555557</c:v>
                </c:pt>
                <c:pt idx="37">
                  <c:v>23.111111111111111</c:v>
                </c:pt>
                <c:pt idx="38">
                  <c:v>23.666666666666668</c:v>
                </c:pt>
                <c:pt idx="39">
                  <c:v>24.222222222222221</c:v>
                </c:pt>
                <c:pt idx="40">
                  <c:v>24.777777777777779</c:v>
                </c:pt>
                <c:pt idx="41">
                  <c:v>25.333333333333336</c:v>
                </c:pt>
              </c:numCache>
            </c:numRef>
          </c:xVal>
          <c:yVal>
            <c:numRef>
              <c:f>Sheet1!$G$4:$G$45</c:f>
              <c:numCache>
                <c:formatCode>General</c:formatCode>
                <c:ptCount val="42"/>
                <c:pt idx="0">
                  <c:v>99.97</c:v>
                </c:pt>
                <c:pt idx="1">
                  <c:v>99.8</c:v>
                </c:pt>
                <c:pt idx="2">
                  <c:v>99.8</c:v>
                </c:pt>
                <c:pt idx="3">
                  <c:v>99.5</c:v>
                </c:pt>
                <c:pt idx="4">
                  <c:v>99.43</c:v>
                </c:pt>
                <c:pt idx="5">
                  <c:v>99.27</c:v>
                </c:pt>
                <c:pt idx="6">
                  <c:v>98.9</c:v>
                </c:pt>
                <c:pt idx="7">
                  <c:v>98</c:v>
                </c:pt>
                <c:pt idx="8">
                  <c:v>97.07</c:v>
                </c:pt>
                <c:pt idx="9">
                  <c:v>96.03</c:v>
                </c:pt>
                <c:pt idx="10">
                  <c:v>95.43</c:v>
                </c:pt>
                <c:pt idx="11">
                  <c:v>93.17</c:v>
                </c:pt>
                <c:pt idx="12">
                  <c:v>91.87</c:v>
                </c:pt>
                <c:pt idx="13">
                  <c:v>89.63</c:v>
                </c:pt>
                <c:pt idx="14">
                  <c:v>86.93</c:v>
                </c:pt>
                <c:pt idx="15">
                  <c:v>83.63</c:v>
                </c:pt>
                <c:pt idx="16">
                  <c:v>78.23</c:v>
                </c:pt>
                <c:pt idx="17">
                  <c:v>73.67</c:v>
                </c:pt>
                <c:pt idx="18">
                  <c:v>70.430000000000007</c:v>
                </c:pt>
                <c:pt idx="19">
                  <c:v>64.930000000000007</c:v>
                </c:pt>
                <c:pt idx="20">
                  <c:v>58.33</c:v>
                </c:pt>
                <c:pt idx="21">
                  <c:v>52.97</c:v>
                </c:pt>
                <c:pt idx="22">
                  <c:v>44.27</c:v>
                </c:pt>
                <c:pt idx="23">
                  <c:v>36.799999999999997</c:v>
                </c:pt>
                <c:pt idx="24">
                  <c:v>30.17</c:v>
                </c:pt>
                <c:pt idx="25">
                  <c:v>24.2</c:v>
                </c:pt>
                <c:pt idx="26">
                  <c:v>16.329999999999998</c:v>
                </c:pt>
                <c:pt idx="27">
                  <c:v>11.9</c:v>
                </c:pt>
                <c:pt idx="28">
                  <c:v>8.1</c:v>
                </c:pt>
                <c:pt idx="29">
                  <c:v>4.67</c:v>
                </c:pt>
                <c:pt idx="30">
                  <c:v>2.33</c:v>
                </c:pt>
                <c:pt idx="31">
                  <c:v>1.23</c:v>
                </c:pt>
                <c:pt idx="32">
                  <c:v>0.67</c:v>
                </c:pt>
                <c:pt idx="33">
                  <c:v>0.27</c:v>
                </c:pt>
                <c:pt idx="34">
                  <c:v>7.0000000000000007E-2</c:v>
                </c:pt>
                <c:pt idx="35">
                  <c:v>0.03</c:v>
                </c:pt>
                <c:pt idx="36">
                  <c:v>0.03</c:v>
                </c:pt>
                <c:pt idx="37">
                  <c:v>0.03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B4-4211-9049-3D2793138420}"/>
            </c:ext>
          </c:extLst>
        </c:ser>
        <c:ser>
          <c:idx val="1"/>
          <c:order val="5"/>
          <c:tx>
            <c:v>35x35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tx1"/>
                </a:fgClr>
                <a:bgClr>
                  <a:schemeClr val="bg1"/>
                </a:bgClr>
              </a:patt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Sheet1!$F$53:$F$102</c:f>
              <c:numCache>
                <c:formatCode>General</c:formatCode>
                <c:ptCount val="50"/>
                <c:pt idx="0">
                  <c:v>2.8571428571428572</c:v>
                </c:pt>
                <c:pt idx="1">
                  <c:v>3.2653061224489797</c:v>
                </c:pt>
                <c:pt idx="2">
                  <c:v>3.6734693877551026</c:v>
                </c:pt>
                <c:pt idx="3">
                  <c:v>4.0816326530612246</c:v>
                </c:pt>
                <c:pt idx="4">
                  <c:v>4.4897959183673466</c:v>
                </c:pt>
                <c:pt idx="5">
                  <c:v>4.8979591836734695</c:v>
                </c:pt>
                <c:pt idx="6">
                  <c:v>5.3061224489795915</c:v>
                </c:pt>
                <c:pt idx="7">
                  <c:v>5.7142857142857144</c:v>
                </c:pt>
                <c:pt idx="8">
                  <c:v>6.1224489795918364</c:v>
                </c:pt>
                <c:pt idx="9">
                  <c:v>6.5306122448979593</c:v>
                </c:pt>
                <c:pt idx="10">
                  <c:v>6.9387755102040813</c:v>
                </c:pt>
                <c:pt idx="11">
                  <c:v>7.3469387755102051</c:v>
                </c:pt>
                <c:pt idx="12">
                  <c:v>7.7551020408163263</c:v>
                </c:pt>
                <c:pt idx="13">
                  <c:v>8.1632653061224492</c:v>
                </c:pt>
                <c:pt idx="14">
                  <c:v>8.5714285714285712</c:v>
                </c:pt>
                <c:pt idx="15">
                  <c:v>8.9795918367346932</c:v>
                </c:pt>
                <c:pt idx="16">
                  <c:v>9.387755102040817</c:v>
                </c:pt>
                <c:pt idx="17">
                  <c:v>9.795918367346939</c:v>
                </c:pt>
                <c:pt idx="18">
                  <c:v>10.204081632653061</c:v>
                </c:pt>
                <c:pt idx="19">
                  <c:v>10.612244897959183</c:v>
                </c:pt>
                <c:pt idx="20">
                  <c:v>11.020408163265307</c:v>
                </c:pt>
                <c:pt idx="21">
                  <c:v>11.428571428571429</c:v>
                </c:pt>
                <c:pt idx="22">
                  <c:v>11.836734693877551</c:v>
                </c:pt>
                <c:pt idx="23">
                  <c:v>12.244897959183673</c:v>
                </c:pt>
                <c:pt idx="24">
                  <c:v>12.653061224489795</c:v>
                </c:pt>
                <c:pt idx="25">
                  <c:v>13.061224489795919</c:v>
                </c:pt>
                <c:pt idx="26">
                  <c:v>13.469387755102041</c:v>
                </c:pt>
                <c:pt idx="27">
                  <c:v>13.877551020408163</c:v>
                </c:pt>
                <c:pt idx="28">
                  <c:v>14.285714285714285</c:v>
                </c:pt>
                <c:pt idx="29">
                  <c:v>14.69387755102041</c:v>
                </c:pt>
                <c:pt idx="30">
                  <c:v>15.102040816326531</c:v>
                </c:pt>
                <c:pt idx="31">
                  <c:v>15.510204081632653</c:v>
                </c:pt>
                <c:pt idx="32">
                  <c:v>15.918367346938775</c:v>
                </c:pt>
                <c:pt idx="33">
                  <c:v>16.326530612244898</c:v>
                </c:pt>
                <c:pt idx="34">
                  <c:v>16.73469387755102</c:v>
                </c:pt>
                <c:pt idx="35">
                  <c:v>17.142857142857142</c:v>
                </c:pt>
                <c:pt idx="36">
                  <c:v>17.551020408163264</c:v>
                </c:pt>
                <c:pt idx="37">
                  <c:v>17.959183673469386</c:v>
                </c:pt>
                <c:pt idx="38">
                  <c:v>18.367346938775512</c:v>
                </c:pt>
                <c:pt idx="39">
                  <c:v>18.775510204081634</c:v>
                </c:pt>
                <c:pt idx="40">
                  <c:v>19.183673469387756</c:v>
                </c:pt>
                <c:pt idx="41">
                  <c:v>19.591836734693878</c:v>
                </c:pt>
                <c:pt idx="42">
                  <c:v>20</c:v>
                </c:pt>
                <c:pt idx="43">
                  <c:v>20.408163265306122</c:v>
                </c:pt>
                <c:pt idx="44">
                  <c:v>20.816326530612244</c:v>
                </c:pt>
                <c:pt idx="45">
                  <c:v>21.224489795918366</c:v>
                </c:pt>
                <c:pt idx="46">
                  <c:v>21.632653061224492</c:v>
                </c:pt>
                <c:pt idx="47">
                  <c:v>22.040816326530614</c:v>
                </c:pt>
                <c:pt idx="48">
                  <c:v>22.448979591836736</c:v>
                </c:pt>
                <c:pt idx="49">
                  <c:v>22.857142857142858</c:v>
                </c:pt>
              </c:numCache>
            </c:numRef>
          </c:xVal>
          <c:yVal>
            <c:numRef>
              <c:f>Sheet1!$G$53:$G$102</c:f>
              <c:numCache>
                <c:formatCode>General</c:formatCode>
                <c:ptCount val="50"/>
                <c:pt idx="0">
                  <c:v>99.87</c:v>
                </c:pt>
                <c:pt idx="1">
                  <c:v>99.9</c:v>
                </c:pt>
                <c:pt idx="2">
                  <c:v>99.9</c:v>
                </c:pt>
                <c:pt idx="3">
                  <c:v>99.57</c:v>
                </c:pt>
                <c:pt idx="4">
                  <c:v>99.33</c:v>
                </c:pt>
                <c:pt idx="5">
                  <c:v>99.4</c:v>
                </c:pt>
                <c:pt idx="6">
                  <c:v>99.17</c:v>
                </c:pt>
                <c:pt idx="7">
                  <c:v>99.13</c:v>
                </c:pt>
                <c:pt idx="8">
                  <c:v>98.57</c:v>
                </c:pt>
                <c:pt idx="9">
                  <c:v>97.8</c:v>
                </c:pt>
                <c:pt idx="10">
                  <c:v>96.97</c:v>
                </c:pt>
                <c:pt idx="11">
                  <c:v>96.57</c:v>
                </c:pt>
                <c:pt idx="12">
                  <c:v>94.6</c:v>
                </c:pt>
                <c:pt idx="13">
                  <c:v>94.43</c:v>
                </c:pt>
                <c:pt idx="14">
                  <c:v>93.5</c:v>
                </c:pt>
                <c:pt idx="15">
                  <c:v>92.13</c:v>
                </c:pt>
                <c:pt idx="16">
                  <c:v>90.33</c:v>
                </c:pt>
                <c:pt idx="17">
                  <c:v>88.67</c:v>
                </c:pt>
                <c:pt idx="18">
                  <c:v>86.4</c:v>
                </c:pt>
                <c:pt idx="19">
                  <c:v>83.63</c:v>
                </c:pt>
                <c:pt idx="20">
                  <c:v>81.53</c:v>
                </c:pt>
                <c:pt idx="21">
                  <c:v>77.83</c:v>
                </c:pt>
                <c:pt idx="22">
                  <c:v>76.37</c:v>
                </c:pt>
                <c:pt idx="23">
                  <c:v>72.17</c:v>
                </c:pt>
                <c:pt idx="24">
                  <c:v>67.8</c:v>
                </c:pt>
                <c:pt idx="25">
                  <c:v>64.599999999999994</c:v>
                </c:pt>
                <c:pt idx="26">
                  <c:v>57.73</c:v>
                </c:pt>
                <c:pt idx="27">
                  <c:v>53.37</c:v>
                </c:pt>
                <c:pt idx="28">
                  <c:v>49.9</c:v>
                </c:pt>
                <c:pt idx="29">
                  <c:v>42.63</c:v>
                </c:pt>
                <c:pt idx="30">
                  <c:v>37.1</c:v>
                </c:pt>
                <c:pt idx="31">
                  <c:v>32.729999999999997</c:v>
                </c:pt>
                <c:pt idx="32">
                  <c:v>25.7</c:v>
                </c:pt>
                <c:pt idx="33">
                  <c:v>25.13</c:v>
                </c:pt>
                <c:pt idx="34">
                  <c:v>18.170000000000002</c:v>
                </c:pt>
                <c:pt idx="35">
                  <c:v>15.9</c:v>
                </c:pt>
                <c:pt idx="36">
                  <c:v>10.8</c:v>
                </c:pt>
                <c:pt idx="37">
                  <c:v>8.1999999999999993</c:v>
                </c:pt>
                <c:pt idx="38">
                  <c:v>5.97</c:v>
                </c:pt>
                <c:pt idx="39">
                  <c:v>3.33</c:v>
                </c:pt>
                <c:pt idx="40">
                  <c:v>2.13</c:v>
                </c:pt>
                <c:pt idx="41">
                  <c:v>1.2</c:v>
                </c:pt>
                <c:pt idx="42">
                  <c:v>0.43</c:v>
                </c:pt>
                <c:pt idx="43">
                  <c:v>0.17</c:v>
                </c:pt>
                <c:pt idx="44">
                  <c:v>0.03</c:v>
                </c:pt>
                <c:pt idx="45">
                  <c:v>7.0000000000000007E-2</c:v>
                </c:pt>
                <c:pt idx="46">
                  <c:v>0</c:v>
                </c:pt>
                <c:pt idx="47">
                  <c:v>0.03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0B4-4211-9049-3D2793138420}"/>
            </c:ext>
          </c:extLst>
        </c:ser>
        <c:ser>
          <c:idx val="6"/>
          <c:order val="6"/>
          <c:tx>
            <c:v>40x40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tx1">
                    <a:lumMod val="65000"/>
                    <a:lumOff val="35000"/>
                  </a:schemeClr>
                </a:fgClr>
                <a:bgClr>
                  <a:schemeClr val="bg1"/>
                </a:bgClr>
              </a:patt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Sheet1!$F$110:$F$159</c:f>
              <c:numCache>
                <c:formatCode>General</c:formatCode>
                <c:ptCount val="50"/>
                <c:pt idx="0">
                  <c:v>4.6875</c:v>
                </c:pt>
                <c:pt idx="1">
                  <c:v>5</c:v>
                </c:pt>
                <c:pt idx="2">
                  <c:v>5.3125</c:v>
                </c:pt>
                <c:pt idx="3">
                  <c:v>5.625</c:v>
                </c:pt>
                <c:pt idx="4">
                  <c:v>5.9375</c:v>
                </c:pt>
                <c:pt idx="5">
                  <c:v>6.25</c:v>
                </c:pt>
                <c:pt idx="6">
                  <c:v>6.5625</c:v>
                </c:pt>
                <c:pt idx="7">
                  <c:v>6.8750000000000009</c:v>
                </c:pt>
                <c:pt idx="8">
                  <c:v>7.1874999999999991</c:v>
                </c:pt>
                <c:pt idx="9">
                  <c:v>7.5</c:v>
                </c:pt>
                <c:pt idx="10">
                  <c:v>7.8125</c:v>
                </c:pt>
                <c:pt idx="11">
                  <c:v>8.125</c:v>
                </c:pt>
                <c:pt idx="12">
                  <c:v>8.4375</c:v>
                </c:pt>
                <c:pt idx="13">
                  <c:v>8.75</c:v>
                </c:pt>
                <c:pt idx="14">
                  <c:v>9.0625</c:v>
                </c:pt>
                <c:pt idx="15">
                  <c:v>9.375</c:v>
                </c:pt>
                <c:pt idx="16">
                  <c:v>9.6875</c:v>
                </c:pt>
                <c:pt idx="17">
                  <c:v>10</c:v>
                </c:pt>
                <c:pt idx="18">
                  <c:v>10.3125</c:v>
                </c:pt>
                <c:pt idx="19">
                  <c:v>10.625</c:v>
                </c:pt>
                <c:pt idx="20">
                  <c:v>10.9375</c:v>
                </c:pt>
                <c:pt idx="21">
                  <c:v>11.25</c:v>
                </c:pt>
                <c:pt idx="22">
                  <c:v>11.5625</c:v>
                </c:pt>
                <c:pt idx="23">
                  <c:v>11.875</c:v>
                </c:pt>
                <c:pt idx="24">
                  <c:v>12.1875</c:v>
                </c:pt>
                <c:pt idx="25">
                  <c:v>12.5</c:v>
                </c:pt>
                <c:pt idx="26">
                  <c:v>12.812499999999998</c:v>
                </c:pt>
                <c:pt idx="27">
                  <c:v>13.125</c:v>
                </c:pt>
                <c:pt idx="28">
                  <c:v>13.4375</c:v>
                </c:pt>
                <c:pt idx="29">
                  <c:v>13.750000000000002</c:v>
                </c:pt>
                <c:pt idx="30">
                  <c:v>14.0625</c:v>
                </c:pt>
                <c:pt idx="31">
                  <c:v>14.374999999999998</c:v>
                </c:pt>
                <c:pt idx="32">
                  <c:v>14.6875</c:v>
                </c:pt>
                <c:pt idx="33">
                  <c:v>15</c:v>
                </c:pt>
                <c:pt idx="34">
                  <c:v>15.312500000000002</c:v>
                </c:pt>
                <c:pt idx="35">
                  <c:v>15.625</c:v>
                </c:pt>
                <c:pt idx="36">
                  <c:v>15.937499999999998</c:v>
                </c:pt>
                <c:pt idx="37">
                  <c:v>16.25</c:v>
                </c:pt>
                <c:pt idx="38">
                  <c:v>16.5625</c:v>
                </c:pt>
                <c:pt idx="39">
                  <c:v>16.875</c:v>
                </c:pt>
                <c:pt idx="40">
                  <c:v>17.1875</c:v>
                </c:pt>
                <c:pt idx="41">
                  <c:v>17.5</c:v>
                </c:pt>
                <c:pt idx="42">
                  <c:v>17.8125</c:v>
                </c:pt>
                <c:pt idx="43">
                  <c:v>18.125</c:v>
                </c:pt>
                <c:pt idx="44">
                  <c:v>18.4375</c:v>
                </c:pt>
                <c:pt idx="45">
                  <c:v>18.75</c:v>
                </c:pt>
                <c:pt idx="46">
                  <c:v>19.0625</c:v>
                </c:pt>
                <c:pt idx="47">
                  <c:v>19.375</c:v>
                </c:pt>
                <c:pt idx="48">
                  <c:v>19.6875</c:v>
                </c:pt>
                <c:pt idx="49">
                  <c:v>20</c:v>
                </c:pt>
              </c:numCache>
            </c:numRef>
          </c:xVal>
          <c:yVal>
            <c:numRef>
              <c:f>Sheet1!$G$110:$G$159</c:f>
              <c:numCache>
                <c:formatCode>General</c:formatCode>
                <c:ptCount val="50"/>
                <c:pt idx="0">
                  <c:v>99.33</c:v>
                </c:pt>
                <c:pt idx="1">
                  <c:v>99.07</c:v>
                </c:pt>
                <c:pt idx="2">
                  <c:v>98.98</c:v>
                </c:pt>
                <c:pt idx="3">
                  <c:v>98.66</c:v>
                </c:pt>
                <c:pt idx="4">
                  <c:v>98.47</c:v>
                </c:pt>
                <c:pt idx="5">
                  <c:v>97.9</c:v>
                </c:pt>
                <c:pt idx="6">
                  <c:v>97.62</c:v>
                </c:pt>
                <c:pt idx="7">
                  <c:v>97.01</c:v>
                </c:pt>
                <c:pt idx="8">
                  <c:v>96.68</c:v>
                </c:pt>
                <c:pt idx="9">
                  <c:v>95.99</c:v>
                </c:pt>
                <c:pt idx="10">
                  <c:v>95.22</c:v>
                </c:pt>
                <c:pt idx="11">
                  <c:v>94.51</c:v>
                </c:pt>
                <c:pt idx="12">
                  <c:v>93.21</c:v>
                </c:pt>
                <c:pt idx="13">
                  <c:v>92.74</c:v>
                </c:pt>
                <c:pt idx="14">
                  <c:v>90.83</c:v>
                </c:pt>
                <c:pt idx="15">
                  <c:v>89.85</c:v>
                </c:pt>
                <c:pt idx="16">
                  <c:v>88.28</c:v>
                </c:pt>
                <c:pt idx="17">
                  <c:v>86.61</c:v>
                </c:pt>
                <c:pt idx="18">
                  <c:v>85.06</c:v>
                </c:pt>
                <c:pt idx="19">
                  <c:v>83.08</c:v>
                </c:pt>
                <c:pt idx="20">
                  <c:v>81.069999999999993</c:v>
                </c:pt>
                <c:pt idx="21">
                  <c:v>78.319999999999993</c:v>
                </c:pt>
                <c:pt idx="22">
                  <c:v>76.09</c:v>
                </c:pt>
                <c:pt idx="23">
                  <c:v>73.180000000000007</c:v>
                </c:pt>
                <c:pt idx="24">
                  <c:v>70.42</c:v>
                </c:pt>
                <c:pt idx="25">
                  <c:v>71.94</c:v>
                </c:pt>
                <c:pt idx="26">
                  <c:v>69.67</c:v>
                </c:pt>
                <c:pt idx="27">
                  <c:v>62.97</c:v>
                </c:pt>
                <c:pt idx="28">
                  <c:v>62.73</c:v>
                </c:pt>
                <c:pt idx="29">
                  <c:v>59.13</c:v>
                </c:pt>
                <c:pt idx="30">
                  <c:v>53.4</c:v>
                </c:pt>
                <c:pt idx="31">
                  <c:v>50.57</c:v>
                </c:pt>
                <c:pt idx="32">
                  <c:v>44.17</c:v>
                </c:pt>
                <c:pt idx="33">
                  <c:v>40.57</c:v>
                </c:pt>
                <c:pt idx="34">
                  <c:v>35.43</c:v>
                </c:pt>
                <c:pt idx="35">
                  <c:v>31.2</c:v>
                </c:pt>
                <c:pt idx="36">
                  <c:v>26.43</c:v>
                </c:pt>
                <c:pt idx="37">
                  <c:v>22.43</c:v>
                </c:pt>
                <c:pt idx="38">
                  <c:v>17.829999999999998</c:v>
                </c:pt>
                <c:pt idx="39">
                  <c:v>15.33</c:v>
                </c:pt>
                <c:pt idx="40">
                  <c:v>12.03</c:v>
                </c:pt>
                <c:pt idx="41">
                  <c:v>8.27</c:v>
                </c:pt>
                <c:pt idx="42">
                  <c:v>6.4</c:v>
                </c:pt>
                <c:pt idx="43">
                  <c:v>4.7699999999999996</c:v>
                </c:pt>
                <c:pt idx="44">
                  <c:v>3.43</c:v>
                </c:pt>
                <c:pt idx="45">
                  <c:v>1.8</c:v>
                </c:pt>
                <c:pt idx="46">
                  <c:v>1.57</c:v>
                </c:pt>
                <c:pt idx="47">
                  <c:v>0.56999999999999995</c:v>
                </c:pt>
                <c:pt idx="48">
                  <c:v>0.43</c:v>
                </c:pt>
                <c:pt idx="49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8C-40E7-B9E5-C0433A73E460}"/>
            </c:ext>
          </c:extLst>
        </c:ser>
        <c:ser>
          <c:idx val="7"/>
          <c:order val="7"/>
          <c:tx>
            <c:v>45x45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tx1">
                    <a:lumMod val="65000"/>
                    <a:lumOff val="35000"/>
                  </a:schemeClr>
                </a:fgClr>
                <a:bgClr>
                  <a:schemeClr val="bg1"/>
                </a:bgClr>
              </a:patt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Sheet1!$F$110:$F$159</c:f>
              <c:numCache>
                <c:formatCode>General</c:formatCode>
                <c:ptCount val="50"/>
                <c:pt idx="0">
                  <c:v>4.6875</c:v>
                </c:pt>
                <c:pt idx="1">
                  <c:v>5</c:v>
                </c:pt>
                <c:pt idx="2">
                  <c:v>5.3125</c:v>
                </c:pt>
                <c:pt idx="3">
                  <c:v>5.625</c:v>
                </c:pt>
                <c:pt idx="4">
                  <c:v>5.9375</c:v>
                </c:pt>
                <c:pt idx="5">
                  <c:v>6.25</c:v>
                </c:pt>
                <c:pt idx="6">
                  <c:v>6.5625</c:v>
                </c:pt>
                <c:pt idx="7">
                  <c:v>6.8750000000000009</c:v>
                </c:pt>
                <c:pt idx="8">
                  <c:v>7.1874999999999991</c:v>
                </c:pt>
                <c:pt idx="9">
                  <c:v>7.5</c:v>
                </c:pt>
                <c:pt idx="10">
                  <c:v>7.8125</c:v>
                </c:pt>
                <c:pt idx="11">
                  <c:v>8.125</c:v>
                </c:pt>
                <c:pt idx="12">
                  <c:v>8.4375</c:v>
                </c:pt>
                <c:pt idx="13">
                  <c:v>8.75</c:v>
                </c:pt>
                <c:pt idx="14">
                  <c:v>9.0625</c:v>
                </c:pt>
                <c:pt idx="15">
                  <c:v>9.375</c:v>
                </c:pt>
                <c:pt idx="16">
                  <c:v>9.6875</c:v>
                </c:pt>
                <c:pt idx="17">
                  <c:v>10</c:v>
                </c:pt>
                <c:pt idx="18">
                  <c:v>10.3125</c:v>
                </c:pt>
                <c:pt idx="19">
                  <c:v>10.625</c:v>
                </c:pt>
                <c:pt idx="20">
                  <c:v>10.9375</c:v>
                </c:pt>
                <c:pt idx="21">
                  <c:v>11.25</c:v>
                </c:pt>
                <c:pt idx="22">
                  <c:v>11.5625</c:v>
                </c:pt>
                <c:pt idx="23">
                  <c:v>11.875</c:v>
                </c:pt>
                <c:pt idx="24">
                  <c:v>12.1875</c:v>
                </c:pt>
                <c:pt idx="25">
                  <c:v>12.5</c:v>
                </c:pt>
                <c:pt idx="26">
                  <c:v>12.812499999999998</c:v>
                </c:pt>
                <c:pt idx="27">
                  <c:v>13.125</c:v>
                </c:pt>
                <c:pt idx="28">
                  <c:v>13.4375</c:v>
                </c:pt>
                <c:pt idx="29">
                  <c:v>13.750000000000002</c:v>
                </c:pt>
                <c:pt idx="30">
                  <c:v>14.0625</c:v>
                </c:pt>
                <c:pt idx="31">
                  <c:v>14.374999999999998</c:v>
                </c:pt>
                <c:pt idx="32">
                  <c:v>14.6875</c:v>
                </c:pt>
                <c:pt idx="33">
                  <c:v>15</c:v>
                </c:pt>
                <c:pt idx="34">
                  <c:v>15.312500000000002</c:v>
                </c:pt>
                <c:pt idx="35">
                  <c:v>15.625</c:v>
                </c:pt>
                <c:pt idx="36">
                  <c:v>15.937499999999998</c:v>
                </c:pt>
                <c:pt idx="37">
                  <c:v>16.25</c:v>
                </c:pt>
                <c:pt idx="38">
                  <c:v>16.5625</c:v>
                </c:pt>
                <c:pt idx="39">
                  <c:v>16.875</c:v>
                </c:pt>
                <c:pt idx="40">
                  <c:v>17.1875</c:v>
                </c:pt>
                <c:pt idx="41">
                  <c:v>17.5</c:v>
                </c:pt>
                <c:pt idx="42">
                  <c:v>17.8125</c:v>
                </c:pt>
                <c:pt idx="43">
                  <c:v>18.125</c:v>
                </c:pt>
                <c:pt idx="44">
                  <c:v>18.4375</c:v>
                </c:pt>
                <c:pt idx="45">
                  <c:v>18.75</c:v>
                </c:pt>
                <c:pt idx="46">
                  <c:v>19.0625</c:v>
                </c:pt>
                <c:pt idx="47">
                  <c:v>19.375</c:v>
                </c:pt>
                <c:pt idx="48">
                  <c:v>19.6875</c:v>
                </c:pt>
                <c:pt idx="49">
                  <c:v>20</c:v>
                </c:pt>
              </c:numCache>
            </c:numRef>
          </c:xVal>
          <c:yVal>
            <c:numRef>
              <c:f>Sheet1!$G$110:$G$159</c:f>
              <c:numCache>
                <c:formatCode>General</c:formatCode>
                <c:ptCount val="50"/>
                <c:pt idx="0">
                  <c:v>99.33</c:v>
                </c:pt>
                <c:pt idx="1">
                  <c:v>99.07</c:v>
                </c:pt>
                <c:pt idx="2">
                  <c:v>98.98</c:v>
                </c:pt>
                <c:pt idx="3">
                  <c:v>98.66</c:v>
                </c:pt>
                <c:pt idx="4">
                  <c:v>98.47</c:v>
                </c:pt>
                <c:pt idx="5">
                  <c:v>97.9</c:v>
                </c:pt>
                <c:pt idx="6">
                  <c:v>97.62</c:v>
                </c:pt>
                <c:pt idx="7">
                  <c:v>97.01</c:v>
                </c:pt>
                <c:pt idx="8">
                  <c:v>96.68</c:v>
                </c:pt>
                <c:pt idx="9">
                  <c:v>95.99</c:v>
                </c:pt>
                <c:pt idx="10">
                  <c:v>95.22</c:v>
                </c:pt>
                <c:pt idx="11">
                  <c:v>94.51</c:v>
                </c:pt>
                <c:pt idx="12">
                  <c:v>93.21</c:v>
                </c:pt>
                <c:pt idx="13">
                  <c:v>92.74</c:v>
                </c:pt>
                <c:pt idx="14">
                  <c:v>90.83</c:v>
                </c:pt>
                <c:pt idx="15">
                  <c:v>89.85</c:v>
                </c:pt>
                <c:pt idx="16">
                  <c:v>88.28</c:v>
                </c:pt>
                <c:pt idx="17">
                  <c:v>86.61</c:v>
                </c:pt>
                <c:pt idx="18">
                  <c:v>85.06</c:v>
                </c:pt>
                <c:pt idx="19">
                  <c:v>83.08</c:v>
                </c:pt>
                <c:pt idx="20">
                  <c:v>81.069999999999993</c:v>
                </c:pt>
                <c:pt idx="21">
                  <c:v>78.319999999999993</c:v>
                </c:pt>
                <c:pt idx="22">
                  <c:v>76.09</c:v>
                </c:pt>
                <c:pt idx="23">
                  <c:v>73.180000000000007</c:v>
                </c:pt>
                <c:pt idx="24">
                  <c:v>70.42</c:v>
                </c:pt>
                <c:pt idx="25">
                  <c:v>71.94</c:v>
                </c:pt>
                <c:pt idx="26">
                  <c:v>69.67</c:v>
                </c:pt>
                <c:pt idx="27">
                  <c:v>62.97</c:v>
                </c:pt>
                <c:pt idx="28">
                  <c:v>62.73</c:v>
                </c:pt>
                <c:pt idx="29">
                  <c:v>59.13</c:v>
                </c:pt>
                <c:pt idx="30">
                  <c:v>53.4</c:v>
                </c:pt>
                <c:pt idx="31">
                  <c:v>50.57</c:v>
                </c:pt>
                <c:pt idx="32">
                  <c:v>44.17</c:v>
                </c:pt>
                <c:pt idx="33">
                  <c:v>40.57</c:v>
                </c:pt>
                <c:pt idx="34">
                  <c:v>35.43</c:v>
                </c:pt>
                <c:pt idx="35">
                  <c:v>31.2</c:v>
                </c:pt>
                <c:pt idx="36">
                  <c:v>26.43</c:v>
                </c:pt>
                <c:pt idx="37">
                  <c:v>22.43</c:v>
                </c:pt>
                <c:pt idx="38">
                  <c:v>17.829999999999998</c:v>
                </c:pt>
                <c:pt idx="39">
                  <c:v>15.33</c:v>
                </c:pt>
                <c:pt idx="40">
                  <c:v>12.03</c:v>
                </c:pt>
                <c:pt idx="41">
                  <c:v>8.27</c:v>
                </c:pt>
                <c:pt idx="42">
                  <c:v>6.4</c:v>
                </c:pt>
                <c:pt idx="43">
                  <c:v>4.7699999999999996</c:v>
                </c:pt>
                <c:pt idx="44">
                  <c:v>3.43</c:v>
                </c:pt>
                <c:pt idx="45">
                  <c:v>1.8</c:v>
                </c:pt>
                <c:pt idx="46">
                  <c:v>1.57</c:v>
                </c:pt>
                <c:pt idx="47">
                  <c:v>0.56999999999999995</c:v>
                </c:pt>
                <c:pt idx="48">
                  <c:v>0.43</c:v>
                </c:pt>
                <c:pt idx="49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8C-40E7-B9E5-C0433A73E460}"/>
            </c:ext>
          </c:extLst>
        </c:ser>
        <c:ser>
          <c:idx val="8"/>
          <c:order val="8"/>
          <c:tx>
            <c:v>50x50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accent1"/>
                </a:fgClr>
                <a:bgClr>
                  <a:schemeClr val="bg1"/>
                </a:bgClr>
              </a:patt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Sheet1!$F$215:$F$285</c:f>
              <c:numCache>
                <c:formatCode>General</c:formatCode>
                <c:ptCount val="71"/>
                <c:pt idx="0">
                  <c:v>7.0000000000000009</c:v>
                </c:pt>
                <c:pt idx="1">
                  <c:v>7.1999999999999993</c:v>
                </c:pt>
                <c:pt idx="2">
                  <c:v>7.3999999999999995</c:v>
                </c:pt>
                <c:pt idx="3">
                  <c:v>7.6</c:v>
                </c:pt>
                <c:pt idx="4">
                  <c:v>7.8</c:v>
                </c:pt>
                <c:pt idx="5">
                  <c:v>8</c:v>
                </c:pt>
                <c:pt idx="6">
                  <c:v>8.2000000000000011</c:v>
                </c:pt>
                <c:pt idx="7">
                  <c:v>8.4</c:v>
                </c:pt>
                <c:pt idx="8">
                  <c:v>8.6</c:v>
                </c:pt>
                <c:pt idx="9">
                  <c:v>8.7999999999999989</c:v>
                </c:pt>
                <c:pt idx="10">
                  <c:v>9</c:v>
                </c:pt>
                <c:pt idx="11">
                  <c:v>9.1999999999999993</c:v>
                </c:pt>
                <c:pt idx="12">
                  <c:v>9.4</c:v>
                </c:pt>
                <c:pt idx="13">
                  <c:v>9.6</c:v>
                </c:pt>
                <c:pt idx="14">
                  <c:v>9.8000000000000007</c:v>
                </c:pt>
                <c:pt idx="15">
                  <c:v>10</c:v>
                </c:pt>
                <c:pt idx="16">
                  <c:v>10.199999999999999</c:v>
                </c:pt>
                <c:pt idx="17">
                  <c:v>10.4</c:v>
                </c:pt>
                <c:pt idx="18">
                  <c:v>10.6</c:v>
                </c:pt>
                <c:pt idx="19">
                  <c:v>10.8</c:v>
                </c:pt>
                <c:pt idx="20">
                  <c:v>11</c:v>
                </c:pt>
                <c:pt idx="21">
                  <c:v>11.200000000000001</c:v>
                </c:pt>
                <c:pt idx="22">
                  <c:v>11.4</c:v>
                </c:pt>
                <c:pt idx="23">
                  <c:v>11.600000000000001</c:v>
                </c:pt>
                <c:pt idx="24">
                  <c:v>11.799999999999999</c:v>
                </c:pt>
                <c:pt idx="25">
                  <c:v>12</c:v>
                </c:pt>
                <c:pt idx="26">
                  <c:v>12.2</c:v>
                </c:pt>
                <c:pt idx="27">
                  <c:v>12.4</c:v>
                </c:pt>
                <c:pt idx="28">
                  <c:v>12.6</c:v>
                </c:pt>
                <c:pt idx="29">
                  <c:v>12.8</c:v>
                </c:pt>
                <c:pt idx="30">
                  <c:v>13</c:v>
                </c:pt>
                <c:pt idx="31">
                  <c:v>13.200000000000001</c:v>
                </c:pt>
                <c:pt idx="32">
                  <c:v>13.4</c:v>
                </c:pt>
                <c:pt idx="33">
                  <c:v>13.600000000000001</c:v>
                </c:pt>
                <c:pt idx="34">
                  <c:v>13.8</c:v>
                </c:pt>
                <c:pt idx="35">
                  <c:v>14.000000000000002</c:v>
                </c:pt>
                <c:pt idx="36">
                  <c:v>14.2</c:v>
                </c:pt>
                <c:pt idx="37">
                  <c:v>14.399999999999999</c:v>
                </c:pt>
                <c:pt idx="38">
                  <c:v>14.6</c:v>
                </c:pt>
                <c:pt idx="39">
                  <c:v>14.799999999999999</c:v>
                </c:pt>
                <c:pt idx="40">
                  <c:v>15</c:v>
                </c:pt>
                <c:pt idx="41">
                  <c:v>15.2</c:v>
                </c:pt>
                <c:pt idx="42">
                  <c:v>15.4</c:v>
                </c:pt>
                <c:pt idx="43">
                  <c:v>15.6</c:v>
                </c:pt>
                <c:pt idx="44">
                  <c:v>15.8</c:v>
                </c:pt>
                <c:pt idx="45">
                  <c:v>16</c:v>
                </c:pt>
                <c:pt idx="46">
                  <c:v>16.2</c:v>
                </c:pt>
                <c:pt idx="47">
                  <c:v>16.400000000000002</c:v>
                </c:pt>
                <c:pt idx="48">
                  <c:v>16.600000000000001</c:v>
                </c:pt>
                <c:pt idx="49">
                  <c:v>16.8</c:v>
                </c:pt>
                <c:pt idx="50">
                  <c:v>17</c:v>
                </c:pt>
                <c:pt idx="51">
                  <c:v>17.2</c:v>
                </c:pt>
                <c:pt idx="52">
                  <c:v>17.399999999999999</c:v>
                </c:pt>
                <c:pt idx="53">
                  <c:v>17.599999999999998</c:v>
                </c:pt>
                <c:pt idx="54">
                  <c:v>17.8</c:v>
                </c:pt>
                <c:pt idx="55">
                  <c:v>18</c:v>
                </c:pt>
                <c:pt idx="56">
                  <c:v>18.2</c:v>
                </c:pt>
                <c:pt idx="57">
                  <c:v>18.399999999999999</c:v>
                </c:pt>
                <c:pt idx="58">
                  <c:v>18.600000000000001</c:v>
                </c:pt>
                <c:pt idx="59">
                  <c:v>18.8</c:v>
                </c:pt>
                <c:pt idx="60">
                  <c:v>19</c:v>
                </c:pt>
                <c:pt idx="61">
                  <c:v>19.2</c:v>
                </c:pt>
                <c:pt idx="62">
                  <c:v>19.400000000000002</c:v>
                </c:pt>
                <c:pt idx="63">
                  <c:v>19.600000000000001</c:v>
                </c:pt>
                <c:pt idx="64">
                  <c:v>19.8</c:v>
                </c:pt>
                <c:pt idx="65">
                  <c:v>20</c:v>
                </c:pt>
                <c:pt idx="66">
                  <c:v>20.200000000000003</c:v>
                </c:pt>
                <c:pt idx="67">
                  <c:v>20.399999999999999</c:v>
                </c:pt>
                <c:pt idx="68">
                  <c:v>20.599999999999998</c:v>
                </c:pt>
                <c:pt idx="69">
                  <c:v>20.8</c:v>
                </c:pt>
                <c:pt idx="70">
                  <c:v>21</c:v>
                </c:pt>
              </c:numCache>
            </c:numRef>
          </c:xVal>
          <c:yVal>
            <c:numRef>
              <c:f>Sheet1!$G$215:$G$285</c:f>
              <c:numCache>
                <c:formatCode>General</c:formatCode>
                <c:ptCount val="71"/>
                <c:pt idx="0">
                  <c:v>96.93</c:v>
                </c:pt>
                <c:pt idx="1">
                  <c:v>96.3</c:v>
                </c:pt>
                <c:pt idx="2">
                  <c:v>95.2</c:v>
                </c:pt>
                <c:pt idx="3">
                  <c:v>95.1</c:v>
                </c:pt>
                <c:pt idx="4">
                  <c:v>94.4</c:v>
                </c:pt>
                <c:pt idx="5">
                  <c:v>95.8</c:v>
                </c:pt>
                <c:pt idx="6">
                  <c:v>95.27</c:v>
                </c:pt>
                <c:pt idx="7">
                  <c:v>94.57</c:v>
                </c:pt>
                <c:pt idx="8">
                  <c:v>93.13</c:v>
                </c:pt>
                <c:pt idx="9">
                  <c:v>93.47</c:v>
                </c:pt>
                <c:pt idx="10">
                  <c:v>92.47</c:v>
                </c:pt>
                <c:pt idx="11">
                  <c:v>91.8</c:v>
                </c:pt>
                <c:pt idx="12">
                  <c:v>91.33</c:v>
                </c:pt>
                <c:pt idx="13">
                  <c:v>90.3</c:v>
                </c:pt>
                <c:pt idx="14">
                  <c:v>89.8</c:v>
                </c:pt>
                <c:pt idx="15">
                  <c:v>89.37</c:v>
                </c:pt>
                <c:pt idx="16">
                  <c:v>87.27</c:v>
                </c:pt>
                <c:pt idx="17">
                  <c:v>85.47</c:v>
                </c:pt>
                <c:pt idx="18">
                  <c:v>84.77</c:v>
                </c:pt>
                <c:pt idx="19">
                  <c:v>83.23</c:v>
                </c:pt>
                <c:pt idx="20">
                  <c:v>81.77</c:v>
                </c:pt>
                <c:pt idx="21">
                  <c:v>80.47</c:v>
                </c:pt>
                <c:pt idx="22">
                  <c:v>78.77</c:v>
                </c:pt>
                <c:pt idx="23">
                  <c:v>76.53</c:v>
                </c:pt>
                <c:pt idx="24">
                  <c:v>73.930000000000007</c:v>
                </c:pt>
                <c:pt idx="25">
                  <c:v>73.33</c:v>
                </c:pt>
                <c:pt idx="26">
                  <c:v>70.53</c:v>
                </c:pt>
                <c:pt idx="27">
                  <c:v>69.27</c:v>
                </c:pt>
                <c:pt idx="28">
                  <c:v>69.17</c:v>
                </c:pt>
                <c:pt idx="29">
                  <c:v>66.930000000000007</c:v>
                </c:pt>
                <c:pt idx="30">
                  <c:v>61.23</c:v>
                </c:pt>
                <c:pt idx="31">
                  <c:v>59.8</c:v>
                </c:pt>
                <c:pt idx="32">
                  <c:v>55.37</c:v>
                </c:pt>
                <c:pt idx="33">
                  <c:v>52.7</c:v>
                </c:pt>
                <c:pt idx="34">
                  <c:v>51.3</c:v>
                </c:pt>
                <c:pt idx="35">
                  <c:v>48.73</c:v>
                </c:pt>
                <c:pt idx="36">
                  <c:v>45.3</c:v>
                </c:pt>
                <c:pt idx="37">
                  <c:v>43.43</c:v>
                </c:pt>
                <c:pt idx="38">
                  <c:v>40.130000000000003</c:v>
                </c:pt>
                <c:pt idx="39">
                  <c:v>36.33</c:v>
                </c:pt>
                <c:pt idx="40">
                  <c:v>32.83</c:v>
                </c:pt>
                <c:pt idx="41">
                  <c:v>30.63</c:v>
                </c:pt>
                <c:pt idx="42">
                  <c:v>28.8</c:v>
                </c:pt>
                <c:pt idx="43">
                  <c:v>25.07</c:v>
                </c:pt>
                <c:pt idx="44">
                  <c:v>24.43</c:v>
                </c:pt>
                <c:pt idx="45">
                  <c:v>24.87</c:v>
                </c:pt>
                <c:pt idx="46">
                  <c:v>20.67</c:v>
                </c:pt>
                <c:pt idx="47">
                  <c:v>18.670000000000002</c:v>
                </c:pt>
                <c:pt idx="48">
                  <c:v>15.27</c:v>
                </c:pt>
                <c:pt idx="49">
                  <c:v>14.07</c:v>
                </c:pt>
                <c:pt idx="50">
                  <c:v>10.57</c:v>
                </c:pt>
                <c:pt idx="51">
                  <c:v>8.43</c:v>
                </c:pt>
                <c:pt idx="52">
                  <c:v>7.93</c:v>
                </c:pt>
                <c:pt idx="53">
                  <c:v>6.3</c:v>
                </c:pt>
                <c:pt idx="54">
                  <c:v>4.87</c:v>
                </c:pt>
                <c:pt idx="55">
                  <c:v>3.73</c:v>
                </c:pt>
                <c:pt idx="56">
                  <c:v>2.33</c:v>
                </c:pt>
                <c:pt idx="57">
                  <c:v>2.0299999999999998</c:v>
                </c:pt>
                <c:pt idx="58">
                  <c:v>1.93</c:v>
                </c:pt>
                <c:pt idx="59">
                  <c:v>1.27</c:v>
                </c:pt>
                <c:pt idx="60">
                  <c:v>0.63</c:v>
                </c:pt>
                <c:pt idx="61">
                  <c:v>0.5</c:v>
                </c:pt>
                <c:pt idx="62">
                  <c:v>0.13</c:v>
                </c:pt>
                <c:pt idx="63">
                  <c:v>0.17</c:v>
                </c:pt>
                <c:pt idx="64">
                  <c:v>0.03</c:v>
                </c:pt>
                <c:pt idx="65">
                  <c:v>0</c:v>
                </c:pt>
                <c:pt idx="66">
                  <c:v>0.03</c:v>
                </c:pt>
                <c:pt idx="67">
                  <c:v>0</c:v>
                </c:pt>
                <c:pt idx="68">
                  <c:v>7.0000000000000007E-2</c:v>
                </c:pt>
                <c:pt idx="69">
                  <c:v>0</c:v>
                </c:pt>
                <c:pt idx="7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B8C-40E7-B9E5-C0433A73E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713535"/>
        <c:axId val="501703935"/>
      </c:scatterChart>
      <c:valAx>
        <c:axId val="50171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PB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01703935"/>
        <c:crosses val="autoZero"/>
        <c:crossBetween val="midCat"/>
      </c:valAx>
      <c:valAx>
        <c:axId val="50170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Win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01713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</c:legendEntry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1033460</xdr:colOff>
      <xdr:row>43</xdr:row>
      <xdr:rowOff>4761</xdr:rowOff>
    </xdr:from>
    <xdr:to>
      <xdr:col>4</xdr:col>
      <xdr:colOff>8629649</xdr:colOff>
      <xdr:row>73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DB9F69-E628-533A-E3D8-917DD5896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361949</xdr:colOff>
      <xdr:row>3</xdr:row>
      <xdr:rowOff>4761</xdr:rowOff>
    </xdr:from>
    <xdr:to>
      <xdr:col>4</xdr:col>
      <xdr:colOff>8216347</xdr:colOff>
      <xdr:row>31</xdr:row>
      <xdr:rowOff>91109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C0298BD-32D9-E282-B146-2D3D893DB8AC}"/>
            </a:ext>
          </a:extLst>
        </xdr:cNvPr>
        <xdr:cNvGrpSpPr/>
      </xdr:nvGrpSpPr>
      <xdr:grpSpPr>
        <a:xfrm>
          <a:off x="3006537" y="800379"/>
          <a:ext cx="10510192" cy="5431554"/>
          <a:chOff x="3019424" y="785811"/>
          <a:chExt cx="10511873" cy="542987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1585E19B-E9A9-3671-676F-A61B31B901F6}"/>
              </a:ext>
            </a:extLst>
          </xdr:cNvPr>
          <xdr:cNvGraphicFramePr/>
        </xdr:nvGraphicFramePr>
        <xdr:xfrm>
          <a:off x="3019424" y="785811"/>
          <a:ext cx="10511873" cy="54298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F05B4A26-F8B6-A8A0-BC9C-9F20994C9206}"/>
              </a:ext>
            </a:extLst>
          </xdr:cNvPr>
          <xdr:cNvSpPr/>
        </xdr:nvSpPr>
        <xdr:spPr>
          <a:xfrm>
            <a:off x="12687300" y="904875"/>
            <a:ext cx="733425" cy="219075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GB">
                <a:ln>
                  <a:solidFill>
                    <a:schemeClr val="accent1">
                      <a:shade val="15000"/>
                    </a:schemeClr>
                  </a:solidFill>
                </a:ln>
                <a:solidFill>
                  <a:sysClr val="windowText" lastClr="000000"/>
                </a:solidFill>
              </a:rPr>
              <a:t>1 : 1</a:t>
            </a:r>
            <a:endParaRPr lang="en-IL">
              <a:ln>
                <a:solidFill>
                  <a:schemeClr val="accent1">
                    <a:shade val="15000"/>
                  </a:schemeClr>
                </a:solidFill>
              </a:ln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0.91918</cdr:x>
      <cdr:y>0.01421</cdr:y>
    </cdr:from>
    <cdr:to>
      <cdr:x>0.99071</cdr:x>
      <cdr:y>0.04862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5322846-662A-A3D5-2DAA-9C8550E09A67}"/>
            </a:ext>
          </a:extLst>
        </cdr:cNvPr>
        <cdr:cNvSpPr/>
      </cdr:nvSpPr>
      <cdr:spPr>
        <a:xfrm xmlns:a="http://schemas.openxmlformats.org/drawingml/2006/main">
          <a:off x="9424990" y="90489"/>
          <a:ext cx="733425" cy="21907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n-GB">
              <a:solidFill>
                <a:sysClr val="windowText" lastClr="000000"/>
              </a:solidFill>
            </a:rPr>
            <a:t>2 : 1</a:t>
          </a:r>
          <a:endParaRPr lang="en-IL">
            <a:solidFill>
              <a:sysClr val="windowText" lastClr="00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9007C-C3F6-4372-9D99-CBBC948876C3}">
  <dimension ref="D1:AH285"/>
  <sheetViews>
    <sheetView tabSelected="1" zoomScale="85" zoomScaleNormal="85" workbookViewId="0">
      <selection activeCell="C31" sqref="C31"/>
    </sheetView>
  </sheetViews>
  <sheetFormatPr defaultRowHeight="15" x14ac:dyDescent="0.25"/>
  <cols>
    <col min="3" max="3" width="21.5703125" customWidth="1"/>
    <col min="4" max="4" width="39.85546875" customWidth="1"/>
    <col min="5" max="5" width="129.42578125" customWidth="1"/>
    <col min="6" max="6" width="49" customWidth="1"/>
    <col min="7" max="7" width="25.140625" customWidth="1"/>
    <col min="8" max="8" width="31.28515625" customWidth="1"/>
    <col min="9" max="9" width="30.42578125" customWidth="1"/>
    <col min="10" max="10" width="20.5703125" customWidth="1"/>
    <col min="11" max="11" width="27.42578125" customWidth="1"/>
    <col min="12" max="12" width="18.28515625" customWidth="1"/>
    <col min="16" max="16" width="51" customWidth="1"/>
    <col min="17" max="17" width="30" customWidth="1"/>
    <col min="18" max="18" width="25.7109375" customWidth="1"/>
    <col min="19" max="19" width="18.7109375" customWidth="1"/>
    <col min="20" max="20" width="18.85546875" customWidth="1"/>
    <col min="21" max="21" width="22.85546875" customWidth="1"/>
    <col min="22" max="22" width="31.140625" customWidth="1"/>
    <col min="28" max="28" width="56.7109375" customWidth="1"/>
    <col min="29" max="29" width="26.28515625" customWidth="1"/>
    <col min="30" max="30" width="23.5703125" customWidth="1"/>
    <col min="31" max="31" width="23.7109375" customWidth="1"/>
    <col min="32" max="32" width="22.5703125" customWidth="1"/>
    <col min="33" max="33" width="22.7109375" customWidth="1"/>
    <col min="34" max="34" width="23.28515625" customWidth="1"/>
  </cols>
  <sheetData>
    <row r="1" spans="4:34" ht="22.5" thickTop="1" thickBot="1" x14ac:dyDescent="0.3">
      <c r="D1" s="10" t="s">
        <v>8</v>
      </c>
      <c r="E1" s="9" t="s">
        <v>24</v>
      </c>
      <c r="K1" s="6" t="s">
        <v>5</v>
      </c>
      <c r="L1" s="5" t="s">
        <v>4</v>
      </c>
      <c r="U1" s="6" t="s">
        <v>5</v>
      </c>
      <c r="V1" s="5" t="s">
        <v>4</v>
      </c>
      <c r="Y1" s="11"/>
      <c r="AG1" s="6" t="s">
        <v>5</v>
      </c>
      <c r="AH1" s="5" t="s">
        <v>4</v>
      </c>
    </row>
    <row r="2" spans="4:34" ht="16.5" thickTop="1" thickBot="1" x14ac:dyDescent="0.3">
      <c r="K2" s="4">
        <v>900</v>
      </c>
      <c r="L2" s="4" t="s">
        <v>3</v>
      </c>
      <c r="U2" s="4">
        <v>100</v>
      </c>
      <c r="V2" s="4" t="s">
        <v>11</v>
      </c>
      <c r="Y2" s="11"/>
      <c r="AG2" s="4">
        <v>200</v>
      </c>
      <c r="AH2" s="4" t="s">
        <v>17</v>
      </c>
    </row>
    <row r="3" spans="4:34" ht="22.5" thickTop="1" thickBot="1" x14ac:dyDescent="0.3">
      <c r="F3" s="7" t="s">
        <v>6</v>
      </c>
      <c r="G3" s="1" t="s">
        <v>0</v>
      </c>
      <c r="H3" s="2" t="s">
        <v>1</v>
      </c>
      <c r="I3" s="3" t="s">
        <v>2</v>
      </c>
      <c r="J3" s="8" t="s">
        <v>7</v>
      </c>
      <c r="P3" s="7" t="s">
        <v>6</v>
      </c>
      <c r="Q3" s="1" t="s">
        <v>0</v>
      </c>
      <c r="R3" s="2" t="s">
        <v>1</v>
      </c>
      <c r="S3" s="3" t="s">
        <v>2</v>
      </c>
      <c r="T3" s="8" t="s">
        <v>7</v>
      </c>
      <c r="Y3" s="11"/>
      <c r="AB3" s="7" t="s">
        <v>6</v>
      </c>
      <c r="AC3" s="1" t="s">
        <v>0</v>
      </c>
      <c r="AD3" s="2" t="s">
        <v>1</v>
      </c>
      <c r="AE3" s="3" t="s">
        <v>2</v>
      </c>
      <c r="AF3" s="8" t="s">
        <v>7</v>
      </c>
    </row>
    <row r="4" spans="4:34" ht="15.75" thickTop="1" x14ac:dyDescent="0.25">
      <c r="F4">
        <f>(I4/$K$2)*100</f>
        <v>2.5555555555555558</v>
      </c>
      <c r="G4">
        <v>99.97</v>
      </c>
      <c r="H4">
        <f>100-G4</f>
        <v>3.0000000000001137E-2</v>
      </c>
      <c r="I4">
        <v>23</v>
      </c>
      <c r="J4">
        <v>1</v>
      </c>
      <c r="P4">
        <f>(S4/$U$2)*100</f>
        <v>1</v>
      </c>
      <c r="Q4">
        <v>100</v>
      </c>
      <c r="R4">
        <f>100-Q4</f>
        <v>0</v>
      </c>
      <c r="S4">
        <v>1</v>
      </c>
      <c r="T4">
        <v>1</v>
      </c>
      <c r="Y4" s="11"/>
      <c r="AB4">
        <f>(AE4/$AG$2)*100</f>
        <v>2.5</v>
      </c>
      <c r="AC4">
        <v>99.97</v>
      </c>
      <c r="AD4">
        <f>100-AC4</f>
        <v>3.0000000000001137E-2</v>
      </c>
      <c r="AE4">
        <v>5</v>
      </c>
      <c r="AF4">
        <v>1</v>
      </c>
    </row>
    <row r="5" spans="4:34" x14ac:dyDescent="0.25">
      <c r="F5">
        <f t="shared" ref="F5:F45" si="0">(I5/$K$2)*100</f>
        <v>3.1111111111111112</v>
      </c>
      <c r="G5">
        <v>99.8</v>
      </c>
      <c r="H5">
        <f t="shared" ref="H5:H45" si="1">100-G5</f>
        <v>0.20000000000000284</v>
      </c>
      <c r="I5">
        <v>28</v>
      </c>
      <c r="J5">
        <v>2</v>
      </c>
      <c r="P5">
        <f t="shared" ref="P5:P38" si="2">(S5/$U$2)*100</f>
        <v>2</v>
      </c>
      <c r="Q5">
        <v>100</v>
      </c>
      <c r="R5">
        <f t="shared" ref="R5:R40" si="3">100-Q5</f>
        <v>0</v>
      </c>
      <c r="S5">
        <v>2</v>
      </c>
      <c r="T5">
        <v>2</v>
      </c>
      <c r="Y5" s="11"/>
      <c r="AB5">
        <f t="shared" ref="AB5:AB28" si="4">(AE5/$AG$2)*100</f>
        <v>3.5000000000000004</v>
      </c>
      <c r="AC5">
        <v>99.94</v>
      </c>
      <c r="AD5">
        <f t="shared" ref="AD5:AD28" si="5">100-AC5</f>
        <v>6.0000000000002274E-2</v>
      </c>
      <c r="AE5">
        <v>7</v>
      </c>
      <c r="AF5">
        <v>2</v>
      </c>
    </row>
    <row r="6" spans="4:34" x14ac:dyDescent="0.25">
      <c r="F6">
        <f t="shared" si="0"/>
        <v>3.6666666666666665</v>
      </c>
      <c r="G6">
        <v>99.8</v>
      </c>
      <c r="H6">
        <f t="shared" si="1"/>
        <v>0.20000000000000284</v>
      </c>
      <c r="I6">
        <v>33</v>
      </c>
      <c r="J6">
        <v>3</v>
      </c>
      <c r="P6">
        <f t="shared" si="2"/>
        <v>3</v>
      </c>
      <c r="Q6">
        <v>99.97</v>
      </c>
      <c r="R6">
        <f t="shared" si="3"/>
        <v>3.0000000000001137E-2</v>
      </c>
      <c r="S6">
        <v>3</v>
      </c>
      <c r="T6">
        <v>3</v>
      </c>
      <c r="Y6" s="11"/>
      <c r="AB6">
        <f t="shared" si="4"/>
        <v>4.5</v>
      </c>
      <c r="AC6">
        <v>99.68</v>
      </c>
      <c r="AD6">
        <f t="shared" si="5"/>
        <v>0.31999999999999318</v>
      </c>
      <c r="AE6">
        <v>9</v>
      </c>
      <c r="AF6">
        <v>3</v>
      </c>
    </row>
    <row r="7" spans="4:34" x14ac:dyDescent="0.25">
      <c r="F7">
        <f t="shared" si="0"/>
        <v>4.2222222222222223</v>
      </c>
      <c r="G7">
        <v>99.5</v>
      </c>
      <c r="H7">
        <f t="shared" si="1"/>
        <v>0.5</v>
      </c>
      <c r="I7">
        <v>38</v>
      </c>
      <c r="J7">
        <v>4</v>
      </c>
      <c r="P7">
        <f t="shared" si="2"/>
        <v>4</v>
      </c>
      <c r="Q7">
        <v>99.91</v>
      </c>
      <c r="R7">
        <f t="shared" si="3"/>
        <v>9.0000000000003411E-2</v>
      </c>
      <c r="S7">
        <v>4</v>
      </c>
      <c r="T7">
        <v>4</v>
      </c>
      <c r="Y7" s="11"/>
      <c r="AB7">
        <f t="shared" si="4"/>
        <v>5.5</v>
      </c>
      <c r="AC7">
        <v>99.14</v>
      </c>
      <c r="AD7">
        <f t="shared" si="5"/>
        <v>0.85999999999999943</v>
      </c>
      <c r="AE7">
        <v>11</v>
      </c>
      <c r="AF7">
        <v>4</v>
      </c>
    </row>
    <row r="8" spans="4:34" x14ac:dyDescent="0.25">
      <c r="F8">
        <f t="shared" si="0"/>
        <v>4.7777777777777777</v>
      </c>
      <c r="G8">
        <v>99.43</v>
      </c>
      <c r="H8">
        <f t="shared" si="1"/>
        <v>0.56999999999999318</v>
      </c>
      <c r="I8">
        <v>43</v>
      </c>
      <c r="J8">
        <v>5</v>
      </c>
      <c r="P8">
        <f t="shared" si="2"/>
        <v>5</v>
      </c>
      <c r="Q8">
        <v>99.67</v>
      </c>
      <c r="R8">
        <f t="shared" si="3"/>
        <v>0.32999999999999829</v>
      </c>
      <c r="S8">
        <v>5</v>
      </c>
      <c r="T8">
        <v>5</v>
      </c>
      <c r="Y8" s="11"/>
      <c r="AB8">
        <f t="shared" si="4"/>
        <v>6.5</v>
      </c>
      <c r="AC8">
        <v>98.47</v>
      </c>
      <c r="AD8">
        <f t="shared" si="5"/>
        <v>1.5300000000000011</v>
      </c>
      <c r="AE8">
        <v>13</v>
      </c>
      <c r="AF8">
        <v>5</v>
      </c>
    </row>
    <row r="9" spans="4:34" x14ac:dyDescent="0.25">
      <c r="F9">
        <f t="shared" si="0"/>
        <v>5.3333333333333339</v>
      </c>
      <c r="G9">
        <v>99.27</v>
      </c>
      <c r="H9">
        <f t="shared" si="1"/>
        <v>0.73000000000000398</v>
      </c>
      <c r="I9">
        <v>48</v>
      </c>
      <c r="J9">
        <v>6</v>
      </c>
      <c r="P9">
        <f t="shared" si="2"/>
        <v>6</v>
      </c>
      <c r="Q9">
        <v>99.22</v>
      </c>
      <c r="R9">
        <f t="shared" si="3"/>
        <v>0.78000000000000114</v>
      </c>
      <c r="S9">
        <v>6</v>
      </c>
      <c r="T9">
        <v>6</v>
      </c>
      <c r="Y9" s="11"/>
      <c r="AB9">
        <f t="shared" si="4"/>
        <v>7.5</v>
      </c>
      <c r="AC9">
        <v>97.07</v>
      </c>
      <c r="AD9">
        <f t="shared" si="5"/>
        <v>2.9300000000000068</v>
      </c>
      <c r="AE9">
        <v>15</v>
      </c>
      <c r="AF9">
        <v>6</v>
      </c>
    </row>
    <row r="10" spans="4:34" x14ac:dyDescent="0.25">
      <c r="F10">
        <f t="shared" si="0"/>
        <v>5.8888888888888884</v>
      </c>
      <c r="G10">
        <v>98.9</v>
      </c>
      <c r="H10">
        <f t="shared" si="1"/>
        <v>1.0999999999999943</v>
      </c>
      <c r="I10">
        <v>53</v>
      </c>
      <c r="J10">
        <v>7</v>
      </c>
      <c r="P10">
        <f t="shared" si="2"/>
        <v>7.0000000000000009</v>
      </c>
      <c r="Q10">
        <v>98.56</v>
      </c>
      <c r="R10">
        <f t="shared" si="3"/>
        <v>1.4399999999999977</v>
      </c>
      <c r="S10">
        <v>7</v>
      </c>
      <c r="T10">
        <v>7</v>
      </c>
      <c r="Y10" s="11"/>
      <c r="AB10">
        <f t="shared" si="4"/>
        <v>8.5</v>
      </c>
      <c r="AC10">
        <v>95.08</v>
      </c>
      <c r="AD10">
        <f t="shared" si="5"/>
        <v>4.9200000000000017</v>
      </c>
      <c r="AE10">
        <v>17</v>
      </c>
      <c r="AF10">
        <v>7</v>
      </c>
    </row>
    <row r="11" spans="4:34" x14ac:dyDescent="0.25">
      <c r="F11">
        <f t="shared" si="0"/>
        <v>6.4444444444444446</v>
      </c>
      <c r="G11">
        <v>98</v>
      </c>
      <c r="H11">
        <f t="shared" si="1"/>
        <v>2</v>
      </c>
      <c r="I11">
        <v>58</v>
      </c>
      <c r="J11">
        <v>8</v>
      </c>
      <c r="P11">
        <f t="shared" si="2"/>
        <v>8</v>
      </c>
      <c r="Q11">
        <v>97.2</v>
      </c>
      <c r="R11">
        <f t="shared" si="3"/>
        <v>2.7999999999999972</v>
      </c>
      <c r="S11">
        <v>8</v>
      </c>
      <c r="T11">
        <v>8</v>
      </c>
      <c r="Y11" s="11"/>
      <c r="AB11">
        <f t="shared" si="4"/>
        <v>9.5</v>
      </c>
      <c r="AC11">
        <v>91.39</v>
      </c>
      <c r="AD11">
        <f t="shared" si="5"/>
        <v>8.61</v>
      </c>
      <c r="AE11">
        <v>19</v>
      </c>
      <c r="AF11">
        <v>8</v>
      </c>
    </row>
    <row r="12" spans="4:34" x14ac:dyDescent="0.25">
      <c r="F12">
        <f t="shared" si="0"/>
        <v>7.0000000000000009</v>
      </c>
      <c r="G12">
        <v>97.07</v>
      </c>
      <c r="H12">
        <f t="shared" si="1"/>
        <v>2.9300000000000068</v>
      </c>
      <c r="I12">
        <v>63</v>
      </c>
      <c r="J12">
        <v>9</v>
      </c>
      <c r="P12">
        <f t="shared" si="2"/>
        <v>9</v>
      </c>
      <c r="Q12">
        <v>95.41</v>
      </c>
      <c r="R12">
        <f t="shared" si="3"/>
        <v>4.5900000000000034</v>
      </c>
      <c r="S12">
        <v>9</v>
      </c>
      <c r="T12">
        <v>9</v>
      </c>
      <c r="Y12" s="11"/>
      <c r="AB12">
        <f t="shared" si="4"/>
        <v>10.5</v>
      </c>
      <c r="AC12">
        <v>87.45</v>
      </c>
      <c r="AD12">
        <f t="shared" si="5"/>
        <v>12.549999999999997</v>
      </c>
      <c r="AE12">
        <v>21</v>
      </c>
      <c r="AF12">
        <v>9</v>
      </c>
    </row>
    <row r="13" spans="4:34" x14ac:dyDescent="0.25">
      <c r="F13">
        <f t="shared" si="0"/>
        <v>7.5555555555555554</v>
      </c>
      <c r="G13">
        <v>96.03</v>
      </c>
      <c r="H13">
        <f t="shared" si="1"/>
        <v>3.9699999999999989</v>
      </c>
      <c r="I13">
        <v>68</v>
      </c>
      <c r="J13">
        <v>10</v>
      </c>
      <c r="P13">
        <f t="shared" si="2"/>
        <v>10</v>
      </c>
      <c r="Q13">
        <v>92.86</v>
      </c>
      <c r="R13">
        <f t="shared" si="3"/>
        <v>7.1400000000000006</v>
      </c>
      <c r="S13">
        <v>10</v>
      </c>
      <c r="T13">
        <v>10</v>
      </c>
      <c r="Y13" s="11"/>
      <c r="AB13">
        <f t="shared" si="4"/>
        <v>11.5</v>
      </c>
      <c r="AC13">
        <v>81.739999999999995</v>
      </c>
      <c r="AD13">
        <f t="shared" si="5"/>
        <v>18.260000000000005</v>
      </c>
      <c r="AE13">
        <v>23</v>
      </c>
      <c r="AF13">
        <v>10</v>
      </c>
    </row>
    <row r="14" spans="4:34" x14ac:dyDescent="0.25">
      <c r="F14">
        <f t="shared" si="0"/>
        <v>8.1111111111111107</v>
      </c>
      <c r="G14">
        <v>95.43</v>
      </c>
      <c r="H14">
        <f t="shared" si="1"/>
        <v>4.5699999999999932</v>
      </c>
      <c r="I14">
        <v>73</v>
      </c>
      <c r="J14">
        <v>11</v>
      </c>
      <c r="P14">
        <f t="shared" si="2"/>
        <v>11</v>
      </c>
      <c r="Q14">
        <v>89.36</v>
      </c>
      <c r="R14">
        <f t="shared" si="3"/>
        <v>10.64</v>
      </c>
      <c r="S14">
        <v>11</v>
      </c>
      <c r="T14">
        <v>11</v>
      </c>
      <c r="Y14" s="11"/>
      <c r="AB14">
        <f t="shared" si="4"/>
        <v>12.5</v>
      </c>
      <c r="AC14">
        <v>74.849999999999994</v>
      </c>
      <c r="AD14">
        <f t="shared" si="5"/>
        <v>25.150000000000006</v>
      </c>
      <c r="AE14">
        <v>25</v>
      </c>
      <c r="AF14">
        <v>11</v>
      </c>
    </row>
    <row r="15" spans="4:34" x14ac:dyDescent="0.25">
      <c r="F15">
        <f t="shared" si="0"/>
        <v>8.6666666666666679</v>
      </c>
      <c r="G15">
        <v>93.17</v>
      </c>
      <c r="H15">
        <f t="shared" si="1"/>
        <v>6.8299999999999983</v>
      </c>
      <c r="I15">
        <v>78</v>
      </c>
      <c r="J15">
        <v>12</v>
      </c>
      <c r="P15">
        <f t="shared" si="2"/>
        <v>12</v>
      </c>
      <c r="Q15">
        <v>84.77</v>
      </c>
      <c r="R15">
        <f t="shared" si="3"/>
        <v>15.230000000000004</v>
      </c>
      <c r="S15">
        <v>12</v>
      </c>
      <c r="T15">
        <v>12</v>
      </c>
      <c r="Y15" s="11"/>
      <c r="AB15">
        <f t="shared" si="4"/>
        <v>13.5</v>
      </c>
      <c r="AC15">
        <v>65.42</v>
      </c>
      <c r="AD15">
        <f t="shared" si="5"/>
        <v>34.58</v>
      </c>
      <c r="AE15">
        <v>27</v>
      </c>
      <c r="AF15">
        <v>12</v>
      </c>
    </row>
    <row r="16" spans="4:34" x14ac:dyDescent="0.25">
      <c r="F16">
        <f t="shared" si="0"/>
        <v>9.2222222222222214</v>
      </c>
      <c r="G16">
        <v>91.87</v>
      </c>
      <c r="H16">
        <f t="shared" si="1"/>
        <v>8.1299999999999955</v>
      </c>
      <c r="I16">
        <v>83</v>
      </c>
      <c r="J16">
        <v>13</v>
      </c>
      <c r="P16">
        <f t="shared" si="2"/>
        <v>13</v>
      </c>
      <c r="Q16">
        <v>78.73</v>
      </c>
      <c r="R16">
        <f t="shared" si="3"/>
        <v>21.269999999999996</v>
      </c>
      <c r="S16">
        <v>13</v>
      </c>
      <c r="T16">
        <v>13</v>
      </c>
      <c r="Y16" s="11"/>
      <c r="AB16">
        <f t="shared" si="4"/>
        <v>14.499999999999998</v>
      </c>
      <c r="AC16">
        <v>55.29</v>
      </c>
      <c r="AD16">
        <f t="shared" si="5"/>
        <v>44.71</v>
      </c>
      <c r="AE16">
        <v>29</v>
      </c>
      <c r="AF16">
        <v>13</v>
      </c>
    </row>
    <row r="17" spans="6:32" x14ac:dyDescent="0.25">
      <c r="F17">
        <f t="shared" si="0"/>
        <v>9.7777777777777786</v>
      </c>
      <c r="G17">
        <v>89.63</v>
      </c>
      <c r="H17">
        <f t="shared" si="1"/>
        <v>10.370000000000005</v>
      </c>
      <c r="I17">
        <v>88</v>
      </c>
      <c r="J17">
        <v>14</v>
      </c>
      <c r="P17">
        <f t="shared" si="2"/>
        <v>14.000000000000002</v>
      </c>
      <c r="Q17">
        <v>72.05</v>
      </c>
      <c r="R17">
        <f t="shared" si="3"/>
        <v>27.950000000000003</v>
      </c>
      <c r="S17">
        <v>14</v>
      </c>
      <c r="T17">
        <v>14</v>
      </c>
      <c r="Y17" s="11"/>
      <c r="AB17">
        <f t="shared" si="4"/>
        <v>15.5</v>
      </c>
      <c r="AC17">
        <v>44.37</v>
      </c>
      <c r="AD17">
        <f t="shared" si="5"/>
        <v>55.63</v>
      </c>
      <c r="AE17">
        <v>31</v>
      </c>
      <c r="AF17">
        <v>14</v>
      </c>
    </row>
    <row r="18" spans="6:32" x14ac:dyDescent="0.25">
      <c r="F18">
        <f t="shared" si="0"/>
        <v>10.333333333333334</v>
      </c>
      <c r="G18">
        <v>86.93</v>
      </c>
      <c r="H18">
        <f t="shared" si="1"/>
        <v>13.069999999999993</v>
      </c>
      <c r="I18">
        <v>93</v>
      </c>
      <c r="J18">
        <v>15</v>
      </c>
      <c r="P18">
        <f t="shared" si="2"/>
        <v>15</v>
      </c>
      <c r="Q18">
        <v>64.209999999999994</v>
      </c>
      <c r="R18">
        <f t="shared" si="3"/>
        <v>35.790000000000006</v>
      </c>
      <c r="S18">
        <v>15</v>
      </c>
      <c r="T18">
        <v>15</v>
      </c>
      <c r="Y18" s="11"/>
      <c r="AB18">
        <f t="shared" si="4"/>
        <v>16.5</v>
      </c>
      <c r="AC18">
        <v>34.5</v>
      </c>
      <c r="AD18">
        <f t="shared" si="5"/>
        <v>65.5</v>
      </c>
      <c r="AE18">
        <v>33</v>
      </c>
      <c r="AF18">
        <v>15</v>
      </c>
    </row>
    <row r="19" spans="6:32" x14ac:dyDescent="0.25">
      <c r="F19">
        <f t="shared" si="0"/>
        <v>10.888888888888888</v>
      </c>
      <c r="G19">
        <v>83.63</v>
      </c>
      <c r="H19">
        <f t="shared" si="1"/>
        <v>16.370000000000005</v>
      </c>
      <c r="I19">
        <v>98</v>
      </c>
      <c r="J19">
        <v>16</v>
      </c>
      <c r="P19">
        <f t="shared" si="2"/>
        <v>16</v>
      </c>
      <c r="Q19">
        <v>55.82</v>
      </c>
      <c r="R19">
        <f t="shared" si="3"/>
        <v>44.18</v>
      </c>
      <c r="S19">
        <v>16</v>
      </c>
      <c r="T19">
        <v>16</v>
      </c>
      <c r="Y19" s="11"/>
      <c r="AB19">
        <f t="shared" si="4"/>
        <v>17.5</v>
      </c>
      <c r="AC19">
        <v>25.5</v>
      </c>
      <c r="AD19">
        <f t="shared" si="5"/>
        <v>74.5</v>
      </c>
      <c r="AE19">
        <v>35</v>
      </c>
      <c r="AF19">
        <v>16</v>
      </c>
    </row>
    <row r="20" spans="6:32" x14ac:dyDescent="0.25">
      <c r="F20">
        <f t="shared" si="0"/>
        <v>11.444444444444445</v>
      </c>
      <c r="G20">
        <v>78.23</v>
      </c>
      <c r="H20">
        <f t="shared" si="1"/>
        <v>21.769999999999996</v>
      </c>
      <c r="I20">
        <v>103</v>
      </c>
      <c r="J20">
        <v>17</v>
      </c>
      <c r="P20">
        <f t="shared" si="2"/>
        <v>17</v>
      </c>
      <c r="Q20">
        <v>46.33</v>
      </c>
      <c r="R20">
        <f t="shared" si="3"/>
        <v>53.67</v>
      </c>
      <c r="S20">
        <v>17</v>
      </c>
      <c r="T20">
        <v>17</v>
      </c>
      <c r="Y20" s="11"/>
      <c r="AB20">
        <f t="shared" si="4"/>
        <v>18.5</v>
      </c>
      <c r="AC20">
        <v>16.87</v>
      </c>
      <c r="AD20">
        <f t="shared" si="5"/>
        <v>83.13</v>
      </c>
      <c r="AE20">
        <v>37</v>
      </c>
      <c r="AF20">
        <v>17</v>
      </c>
    </row>
    <row r="21" spans="6:32" x14ac:dyDescent="0.25">
      <c r="F21">
        <f t="shared" si="0"/>
        <v>12</v>
      </c>
      <c r="G21">
        <v>73.67</v>
      </c>
      <c r="H21">
        <f t="shared" si="1"/>
        <v>26.33</v>
      </c>
      <c r="I21">
        <v>108</v>
      </c>
      <c r="J21">
        <v>18</v>
      </c>
      <c r="P21">
        <f t="shared" si="2"/>
        <v>18</v>
      </c>
      <c r="Q21">
        <v>38.08</v>
      </c>
      <c r="R21">
        <f t="shared" si="3"/>
        <v>61.92</v>
      </c>
      <c r="S21">
        <v>18</v>
      </c>
      <c r="T21">
        <v>18</v>
      </c>
      <c r="Y21" s="11"/>
      <c r="AB21">
        <f t="shared" si="4"/>
        <v>19.5</v>
      </c>
      <c r="AC21">
        <v>10.58</v>
      </c>
      <c r="AD21">
        <f t="shared" si="5"/>
        <v>89.42</v>
      </c>
      <c r="AE21">
        <v>39</v>
      </c>
      <c r="AF21">
        <v>18</v>
      </c>
    </row>
    <row r="22" spans="6:32" x14ac:dyDescent="0.25">
      <c r="F22">
        <f t="shared" si="0"/>
        <v>12.555555555555555</v>
      </c>
      <c r="G22">
        <v>70.430000000000007</v>
      </c>
      <c r="H22">
        <f t="shared" si="1"/>
        <v>29.569999999999993</v>
      </c>
      <c r="I22">
        <v>113</v>
      </c>
      <c r="J22">
        <v>19</v>
      </c>
      <c r="P22">
        <f t="shared" si="2"/>
        <v>19</v>
      </c>
      <c r="Q22">
        <v>29.92</v>
      </c>
      <c r="R22">
        <f t="shared" si="3"/>
        <v>70.08</v>
      </c>
      <c r="S22">
        <v>19</v>
      </c>
      <c r="T22">
        <v>19</v>
      </c>
      <c r="Y22" s="11"/>
      <c r="AB22">
        <f t="shared" si="4"/>
        <v>20.5</v>
      </c>
      <c r="AC22">
        <v>6.08</v>
      </c>
      <c r="AD22">
        <f t="shared" si="5"/>
        <v>93.92</v>
      </c>
      <c r="AE22">
        <v>41</v>
      </c>
      <c r="AF22">
        <v>19</v>
      </c>
    </row>
    <row r="23" spans="6:32" x14ac:dyDescent="0.25">
      <c r="F23">
        <f t="shared" si="0"/>
        <v>13.111111111111112</v>
      </c>
      <c r="G23">
        <v>64.930000000000007</v>
      </c>
      <c r="H23">
        <f t="shared" si="1"/>
        <v>35.069999999999993</v>
      </c>
      <c r="I23">
        <v>118</v>
      </c>
      <c r="J23">
        <v>20</v>
      </c>
      <c r="P23">
        <f t="shared" si="2"/>
        <v>20</v>
      </c>
      <c r="Q23">
        <v>22.53</v>
      </c>
      <c r="R23">
        <f t="shared" si="3"/>
        <v>77.47</v>
      </c>
      <c r="S23">
        <v>20</v>
      </c>
      <c r="T23">
        <v>20</v>
      </c>
      <c r="Y23" s="11"/>
      <c r="AB23">
        <f t="shared" si="4"/>
        <v>21.5</v>
      </c>
      <c r="AC23">
        <v>3.56</v>
      </c>
      <c r="AD23">
        <f t="shared" si="5"/>
        <v>96.44</v>
      </c>
      <c r="AE23">
        <v>43</v>
      </c>
      <c r="AF23">
        <v>20</v>
      </c>
    </row>
    <row r="24" spans="6:32" x14ac:dyDescent="0.25">
      <c r="F24">
        <f t="shared" si="0"/>
        <v>13.666666666666666</v>
      </c>
      <c r="G24">
        <v>58.33</v>
      </c>
      <c r="H24">
        <f t="shared" si="1"/>
        <v>41.67</v>
      </c>
      <c r="I24">
        <v>123</v>
      </c>
      <c r="J24">
        <v>21</v>
      </c>
      <c r="P24">
        <f t="shared" si="2"/>
        <v>21</v>
      </c>
      <c r="Q24">
        <v>16.489999999999998</v>
      </c>
      <c r="R24">
        <f t="shared" si="3"/>
        <v>83.51</v>
      </c>
      <c r="S24">
        <v>21</v>
      </c>
      <c r="T24">
        <v>21</v>
      </c>
      <c r="Y24" s="11"/>
      <c r="AB24">
        <f t="shared" si="4"/>
        <v>22.5</v>
      </c>
      <c r="AC24">
        <v>1.79</v>
      </c>
      <c r="AD24">
        <f t="shared" si="5"/>
        <v>98.21</v>
      </c>
      <c r="AE24">
        <v>45</v>
      </c>
      <c r="AF24">
        <v>21</v>
      </c>
    </row>
    <row r="25" spans="6:32" x14ac:dyDescent="0.25">
      <c r="F25">
        <f t="shared" si="0"/>
        <v>14.222222222222221</v>
      </c>
      <c r="G25">
        <v>52.97</v>
      </c>
      <c r="H25">
        <f t="shared" si="1"/>
        <v>47.03</v>
      </c>
      <c r="I25">
        <v>128</v>
      </c>
      <c r="J25">
        <v>22</v>
      </c>
      <c r="P25">
        <f t="shared" si="2"/>
        <v>22</v>
      </c>
      <c r="Q25">
        <v>12.05</v>
      </c>
      <c r="R25">
        <f t="shared" si="3"/>
        <v>87.95</v>
      </c>
      <c r="S25">
        <v>22</v>
      </c>
      <c r="T25">
        <v>22</v>
      </c>
      <c r="Y25" s="11"/>
      <c r="AB25">
        <f t="shared" si="4"/>
        <v>23.5</v>
      </c>
      <c r="AC25">
        <v>0.73</v>
      </c>
      <c r="AD25">
        <f t="shared" si="5"/>
        <v>99.27</v>
      </c>
      <c r="AE25">
        <v>47</v>
      </c>
      <c r="AF25">
        <v>22</v>
      </c>
    </row>
    <row r="26" spans="6:32" x14ac:dyDescent="0.25">
      <c r="F26">
        <f t="shared" si="0"/>
        <v>14.777777777777779</v>
      </c>
      <c r="G26">
        <v>44.27</v>
      </c>
      <c r="H26">
        <f t="shared" si="1"/>
        <v>55.73</v>
      </c>
      <c r="I26">
        <v>133</v>
      </c>
      <c r="J26">
        <v>23</v>
      </c>
      <c r="P26">
        <f t="shared" si="2"/>
        <v>23</v>
      </c>
      <c r="Q26">
        <v>8.08</v>
      </c>
      <c r="R26">
        <f t="shared" si="3"/>
        <v>91.92</v>
      </c>
      <c r="S26">
        <v>23</v>
      </c>
      <c r="T26">
        <v>23</v>
      </c>
      <c r="Y26" s="11"/>
      <c r="AB26">
        <f t="shared" si="4"/>
        <v>24.5</v>
      </c>
      <c r="AC26">
        <v>0.34</v>
      </c>
      <c r="AD26">
        <f t="shared" si="5"/>
        <v>99.66</v>
      </c>
      <c r="AE26">
        <v>49</v>
      </c>
      <c r="AF26">
        <v>23</v>
      </c>
    </row>
    <row r="27" spans="6:32" x14ac:dyDescent="0.25">
      <c r="F27">
        <f t="shared" si="0"/>
        <v>15.333333333333332</v>
      </c>
      <c r="G27">
        <v>36.799999999999997</v>
      </c>
      <c r="H27">
        <f t="shared" si="1"/>
        <v>63.2</v>
      </c>
      <c r="I27">
        <v>138</v>
      </c>
      <c r="J27">
        <v>24</v>
      </c>
      <c r="P27">
        <f t="shared" si="2"/>
        <v>24</v>
      </c>
      <c r="Q27">
        <v>5.64</v>
      </c>
      <c r="R27">
        <f t="shared" si="3"/>
        <v>94.36</v>
      </c>
      <c r="S27">
        <v>24</v>
      </c>
      <c r="T27">
        <v>24</v>
      </c>
      <c r="Y27" s="11"/>
      <c r="AB27">
        <f t="shared" si="4"/>
        <v>25.5</v>
      </c>
      <c r="AC27">
        <v>0.15</v>
      </c>
      <c r="AD27">
        <f t="shared" si="5"/>
        <v>99.85</v>
      </c>
      <c r="AE27">
        <v>51</v>
      </c>
      <c r="AF27">
        <v>24</v>
      </c>
    </row>
    <row r="28" spans="6:32" x14ac:dyDescent="0.25">
      <c r="F28">
        <f t="shared" si="0"/>
        <v>15.888888888888889</v>
      </c>
      <c r="G28">
        <v>30.17</v>
      </c>
      <c r="H28">
        <f t="shared" si="1"/>
        <v>69.83</v>
      </c>
      <c r="I28">
        <v>143</v>
      </c>
      <c r="J28">
        <v>25</v>
      </c>
      <c r="P28">
        <f t="shared" si="2"/>
        <v>25</v>
      </c>
      <c r="Q28">
        <v>3.66</v>
      </c>
      <c r="R28">
        <f t="shared" si="3"/>
        <v>96.34</v>
      </c>
      <c r="S28">
        <v>25</v>
      </c>
      <c r="T28">
        <v>25</v>
      </c>
      <c r="Y28" s="11"/>
      <c r="AB28">
        <f t="shared" si="4"/>
        <v>26.5</v>
      </c>
      <c r="AC28">
        <v>0.02</v>
      </c>
      <c r="AD28">
        <f t="shared" si="5"/>
        <v>99.98</v>
      </c>
      <c r="AE28">
        <v>53</v>
      </c>
      <c r="AF28">
        <v>25</v>
      </c>
    </row>
    <row r="29" spans="6:32" x14ac:dyDescent="0.25">
      <c r="F29">
        <f t="shared" si="0"/>
        <v>16.444444444444446</v>
      </c>
      <c r="G29">
        <v>24.2</v>
      </c>
      <c r="H29">
        <f t="shared" si="1"/>
        <v>75.8</v>
      </c>
      <c r="I29">
        <v>148</v>
      </c>
      <c r="J29">
        <v>26</v>
      </c>
      <c r="P29">
        <f t="shared" si="2"/>
        <v>26</v>
      </c>
      <c r="Q29">
        <v>2.3199999999999998</v>
      </c>
      <c r="R29">
        <f t="shared" si="3"/>
        <v>97.68</v>
      </c>
      <c r="S29">
        <v>26</v>
      </c>
      <c r="T29">
        <v>26</v>
      </c>
      <c r="Y29" s="11"/>
    </row>
    <row r="30" spans="6:32" x14ac:dyDescent="0.25">
      <c r="F30">
        <f t="shared" si="0"/>
        <v>17</v>
      </c>
      <c r="G30">
        <v>16.329999999999998</v>
      </c>
      <c r="H30">
        <f t="shared" si="1"/>
        <v>83.67</v>
      </c>
      <c r="I30">
        <v>153</v>
      </c>
      <c r="J30">
        <v>27</v>
      </c>
      <c r="P30">
        <f t="shared" si="2"/>
        <v>27</v>
      </c>
      <c r="Q30">
        <v>1.49</v>
      </c>
      <c r="R30">
        <f t="shared" si="3"/>
        <v>98.51</v>
      </c>
      <c r="S30">
        <v>27</v>
      </c>
      <c r="T30">
        <v>27</v>
      </c>
      <c r="Y30" s="11"/>
    </row>
    <row r="31" spans="6:32" x14ac:dyDescent="0.25">
      <c r="F31">
        <f t="shared" si="0"/>
        <v>17.555555555555554</v>
      </c>
      <c r="G31">
        <v>11.9</v>
      </c>
      <c r="H31">
        <f t="shared" si="1"/>
        <v>88.1</v>
      </c>
      <c r="I31">
        <v>158</v>
      </c>
      <c r="J31">
        <v>28</v>
      </c>
      <c r="P31">
        <f t="shared" si="2"/>
        <v>28.000000000000004</v>
      </c>
      <c r="Q31">
        <v>0.91</v>
      </c>
      <c r="R31">
        <f t="shared" si="3"/>
        <v>99.09</v>
      </c>
      <c r="S31">
        <v>28</v>
      </c>
      <c r="T31">
        <v>28</v>
      </c>
      <c r="Y31" s="11"/>
    </row>
    <row r="32" spans="6:32" x14ac:dyDescent="0.25">
      <c r="F32">
        <f t="shared" si="0"/>
        <v>18.111111111111111</v>
      </c>
      <c r="G32">
        <v>8.1</v>
      </c>
      <c r="H32">
        <f t="shared" si="1"/>
        <v>91.9</v>
      </c>
      <c r="I32">
        <v>163</v>
      </c>
      <c r="J32">
        <v>29</v>
      </c>
      <c r="P32">
        <f t="shared" si="2"/>
        <v>28.999999999999996</v>
      </c>
      <c r="Q32">
        <v>0.51</v>
      </c>
      <c r="R32">
        <f t="shared" si="3"/>
        <v>99.49</v>
      </c>
      <c r="S32">
        <v>29</v>
      </c>
      <c r="T32">
        <v>29</v>
      </c>
      <c r="Y32" s="11"/>
    </row>
    <row r="33" spans="6:34" ht="21" x14ac:dyDescent="0.25">
      <c r="F33">
        <f t="shared" si="0"/>
        <v>18.666666666666668</v>
      </c>
      <c r="G33">
        <v>4.67</v>
      </c>
      <c r="H33">
        <f t="shared" si="1"/>
        <v>95.33</v>
      </c>
      <c r="I33">
        <v>168</v>
      </c>
      <c r="J33">
        <v>30</v>
      </c>
      <c r="P33">
        <f t="shared" si="2"/>
        <v>30</v>
      </c>
      <c r="Q33">
        <v>0.28000000000000003</v>
      </c>
      <c r="R33">
        <f t="shared" si="3"/>
        <v>99.72</v>
      </c>
      <c r="S33">
        <v>30</v>
      </c>
      <c r="T33">
        <v>30</v>
      </c>
      <c r="Y33" s="11"/>
      <c r="AG33" s="6" t="s">
        <v>5</v>
      </c>
      <c r="AH33" s="5" t="s">
        <v>4</v>
      </c>
    </row>
    <row r="34" spans="6:34" ht="15.75" thickBot="1" x14ac:dyDescent="0.3">
      <c r="F34">
        <f t="shared" si="0"/>
        <v>19.222222222222221</v>
      </c>
      <c r="G34">
        <v>2.33</v>
      </c>
      <c r="H34">
        <f t="shared" si="1"/>
        <v>97.67</v>
      </c>
      <c r="I34">
        <v>173</v>
      </c>
      <c r="J34">
        <v>31</v>
      </c>
      <c r="P34">
        <f t="shared" si="2"/>
        <v>31</v>
      </c>
      <c r="Q34">
        <v>0.15</v>
      </c>
      <c r="R34">
        <f t="shared" si="3"/>
        <v>99.85</v>
      </c>
      <c r="S34">
        <v>31</v>
      </c>
      <c r="T34">
        <v>31</v>
      </c>
      <c r="Y34" s="11"/>
      <c r="AG34" s="4">
        <v>450</v>
      </c>
      <c r="AH34" s="4" t="s">
        <v>18</v>
      </c>
    </row>
    <row r="35" spans="6:34" ht="22.5" thickTop="1" thickBot="1" x14ac:dyDescent="0.3">
      <c r="F35">
        <f t="shared" si="0"/>
        <v>19.777777777777779</v>
      </c>
      <c r="G35">
        <v>1.23</v>
      </c>
      <c r="H35">
        <f t="shared" si="1"/>
        <v>98.77</v>
      </c>
      <c r="I35">
        <v>178</v>
      </c>
      <c r="J35">
        <v>32</v>
      </c>
      <c r="P35">
        <f t="shared" si="2"/>
        <v>32</v>
      </c>
      <c r="Q35">
        <v>0.1</v>
      </c>
      <c r="R35">
        <f t="shared" si="3"/>
        <v>99.9</v>
      </c>
      <c r="S35">
        <v>32</v>
      </c>
      <c r="T35">
        <v>32</v>
      </c>
      <c r="Y35" s="11"/>
      <c r="AB35" s="7" t="s">
        <v>6</v>
      </c>
      <c r="AC35" s="1" t="s">
        <v>0</v>
      </c>
      <c r="AD35" s="2" t="s">
        <v>1</v>
      </c>
      <c r="AE35" s="3" t="s">
        <v>2</v>
      </c>
      <c r="AF35" s="8" t="s">
        <v>7</v>
      </c>
    </row>
    <row r="36" spans="6:34" ht="15.75" thickTop="1" x14ac:dyDescent="0.25">
      <c r="F36">
        <f t="shared" si="0"/>
        <v>20.333333333333332</v>
      </c>
      <c r="G36">
        <v>0.67</v>
      </c>
      <c r="H36">
        <f t="shared" si="1"/>
        <v>99.33</v>
      </c>
      <c r="I36">
        <v>183</v>
      </c>
      <c r="J36">
        <v>33</v>
      </c>
      <c r="P36">
        <f t="shared" si="2"/>
        <v>33</v>
      </c>
      <c r="Q36">
        <v>0.04</v>
      </c>
      <c r="R36">
        <f t="shared" si="3"/>
        <v>99.96</v>
      </c>
      <c r="S36">
        <v>33</v>
      </c>
      <c r="T36">
        <v>33</v>
      </c>
      <c r="Y36" s="11"/>
      <c r="AB36">
        <f>(AE36/$AG$34)*100</f>
        <v>2.2222222222222223</v>
      </c>
      <c r="AC36">
        <v>99.94</v>
      </c>
      <c r="AD36">
        <f>100-AC36</f>
        <v>6.0000000000002274E-2</v>
      </c>
      <c r="AE36">
        <v>10</v>
      </c>
      <c r="AF36">
        <v>1</v>
      </c>
    </row>
    <row r="37" spans="6:34" x14ac:dyDescent="0.25">
      <c r="F37">
        <f t="shared" si="0"/>
        <v>20.888888888888889</v>
      </c>
      <c r="G37">
        <v>0.27</v>
      </c>
      <c r="H37">
        <f t="shared" si="1"/>
        <v>99.73</v>
      </c>
      <c r="I37">
        <v>188</v>
      </c>
      <c r="J37">
        <v>34</v>
      </c>
      <c r="P37">
        <f t="shared" si="2"/>
        <v>34</v>
      </c>
      <c r="Q37">
        <v>0.05</v>
      </c>
      <c r="R37">
        <f t="shared" si="3"/>
        <v>99.95</v>
      </c>
      <c r="S37">
        <v>34</v>
      </c>
      <c r="T37">
        <v>34</v>
      </c>
      <c r="Y37" s="11"/>
      <c r="AB37">
        <f t="shared" ref="AB37:AB60" si="6">(AE37/$AG$34)*100</f>
        <v>3.1111111111111112</v>
      </c>
      <c r="AC37">
        <v>99.86</v>
      </c>
      <c r="AD37">
        <f t="shared" ref="AD37:AD60" si="7">100-AC37</f>
        <v>0.14000000000000057</v>
      </c>
      <c r="AE37">
        <v>14</v>
      </c>
      <c r="AF37">
        <v>2</v>
      </c>
    </row>
    <row r="38" spans="6:34" x14ac:dyDescent="0.25">
      <c r="F38">
        <f t="shared" si="0"/>
        <v>21.444444444444443</v>
      </c>
      <c r="G38">
        <v>7.0000000000000007E-2</v>
      </c>
      <c r="H38">
        <f t="shared" si="1"/>
        <v>99.93</v>
      </c>
      <c r="I38">
        <v>193</v>
      </c>
      <c r="J38">
        <v>35</v>
      </c>
      <c r="P38">
        <f t="shared" si="2"/>
        <v>35</v>
      </c>
      <c r="Q38">
        <v>0.02</v>
      </c>
      <c r="R38">
        <f t="shared" si="3"/>
        <v>99.98</v>
      </c>
      <c r="S38">
        <v>35</v>
      </c>
      <c r="T38">
        <v>35</v>
      </c>
      <c r="Y38" s="11"/>
      <c r="AB38">
        <f t="shared" si="6"/>
        <v>4</v>
      </c>
      <c r="AC38">
        <v>99.6</v>
      </c>
      <c r="AD38">
        <f t="shared" si="7"/>
        <v>0.40000000000000568</v>
      </c>
      <c r="AE38">
        <v>18</v>
      </c>
      <c r="AF38">
        <v>3</v>
      </c>
    </row>
    <row r="39" spans="6:34" x14ac:dyDescent="0.25">
      <c r="F39">
        <f t="shared" si="0"/>
        <v>22</v>
      </c>
      <c r="G39">
        <v>0.03</v>
      </c>
      <c r="H39">
        <f t="shared" si="1"/>
        <v>99.97</v>
      </c>
      <c r="I39">
        <v>198</v>
      </c>
      <c r="J39">
        <v>36</v>
      </c>
      <c r="P39">
        <f t="shared" ref="P39:P40" si="8">(S39/$U$2)*100</f>
        <v>36</v>
      </c>
      <c r="Q39">
        <v>0.02</v>
      </c>
      <c r="R39">
        <f t="shared" si="3"/>
        <v>99.98</v>
      </c>
      <c r="S39">
        <v>36</v>
      </c>
      <c r="T39">
        <v>36</v>
      </c>
      <c r="Y39" s="11"/>
      <c r="AB39">
        <f t="shared" si="6"/>
        <v>4.8888888888888893</v>
      </c>
      <c r="AC39">
        <v>99.42</v>
      </c>
      <c r="AD39">
        <f t="shared" si="7"/>
        <v>0.57999999999999829</v>
      </c>
      <c r="AE39">
        <v>22</v>
      </c>
      <c r="AF39">
        <v>4</v>
      </c>
    </row>
    <row r="40" spans="6:34" x14ac:dyDescent="0.25">
      <c r="F40">
        <f t="shared" si="0"/>
        <v>22.555555555555557</v>
      </c>
      <c r="G40">
        <v>0.03</v>
      </c>
      <c r="H40">
        <f t="shared" si="1"/>
        <v>99.97</v>
      </c>
      <c r="I40">
        <v>203</v>
      </c>
      <c r="J40">
        <v>37</v>
      </c>
      <c r="P40">
        <f t="shared" si="8"/>
        <v>37</v>
      </c>
      <c r="Q40">
        <v>0.01</v>
      </c>
      <c r="R40">
        <f t="shared" si="3"/>
        <v>99.99</v>
      </c>
      <c r="S40">
        <v>37</v>
      </c>
      <c r="T40">
        <v>37</v>
      </c>
      <c r="Y40" s="11"/>
      <c r="AB40">
        <f t="shared" si="6"/>
        <v>5.7777777777777777</v>
      </c>
      <c r="AC40">
        <v>99</v>
      </c>
      <c r="AD40">
        <f t="shared" si="7"/>
        <v>1</v>
      </c>
      <c r="AE40">
        <v>26</v>
      </c>
      <c r="AF40">
        <v>5</v>
      </c>
    </row>
    <row r="41" spans="6:34" x14ac:dyDescent="0.25">
      <c r="F41">
        <f t="shared" si="0"/>
        <v>23.111111111111111</v>
      </c>
      <c r="G41">
        <v>0.03</v>
      </c>
      <c r="H41">
        <f t="shared" si="1"/>
        <v>99.97</v>
      </c>
      <c r="I41">
        <v>208</v>
      </c>
      <c r="J41">
        <v>38</v>
      </c>
      <c r="Y41" s="11"/>
      <c r="AB41">
        <f t="shared" si="6"/>
        <v>6.666666666666667</v>
      </c>
      <c r="AC41">
        <v>98.26</v>
      </c>
      <c r="AD41">
        <f t="shared" si="7"/>
        <v>1.7399999999999949</v>
      </c>
      <c r="AE41">
        <v>30</v>
      </c>
      <c r="AF41">
        <v>6</v>
      </c>
    </row>
    <row r="42" spans="6:34" x14ac:dyDescent="0.25">
      <c r="F42">
        <f t="shared" si="0"/>
        <v>23.666666666666668</v>
      </c>
      <c r="G42">
        <v>0</v>
      </c>
      <c r="H42">
        <f t="shared" si="1"/>
        <v>100</v>
      </c>
      <c r="I42">
        <v>213</v>
      </c>
      <c r="J42">
        <v>39</v>
      </c>
      <c r="Y42" s="11"/>
      <c r="AB42">
        <f t="shared" si="6"/>
        <v>7.5555555555555554</v>
      </c>
      <c r="AC42">
        <v>96.76</v>
      </c>
      <c r="AD42">
        <f t="shared" si="7"/>
        <v>3.2399999999999949</v>
      </c>
      <c r="AE42">
        <v>34</v>
      </c>
      <c r="AF42">
        <v>7</v>
      </c>
    </row>
    <row r="43" spans="6:34" x14ac:dyDescent="0.25">
      <c r="F43">
        <f t="shared" si="0"/>
        <v>24.222222222222221</v>
      </c>
      <c r="G43">
        <v>0</v>
      </c>
      <c r="H43">
        <f t="shared" si="1"/>
        <v>100</v>
      </c>
      <c r="I43">
        <v>218</v>
      </c>
      <c r="J43">
        <v>40</v>
      </c>
      <c r="Y43" s="11"/>
      <c r="AB43">
        <f t="shared" si="6"/>
        <v>8.4444444444444446</v>
      </c>
      <c r="AC43">
        <v>94.86</v>
      </c>
      <c r="AD43">
        <f t="shared" si="7"/>
        <v>5.1400000000000006</v>
      </c>
      <c r="AE43">
        <v>38</v>
      </c>
      <c r="AF43">
        <v>8</v>
      </c>
    </row>
    <row r="44" spans="6:34" x14ac:dyDescent="0.25">
      <c r="F44">
        <f t="shared" si="0"/>
        <v>24.777777777777779</v>
      </c>
      <c r="G44">
        <v>0</v>
      </c>
      <c r="H44">
        <f t="shared" si="1"/>
        <v>100</v>
      </c>
      <c r="I44">
        <v>223</v>
      </c>
      <c r="J44">
        <v>41</v>
      </c>
      <c r="Y44" s="11"/>
      <c r="AB44">
        <f t="shared" si="6"/>
        <v>9.3333333333333339</v>
      </c>
      <c r="AC44">
        <v>92.28</v>
      </c>
      <c r="AD44">
        <f t="shared" si="7"/>
        <v>7.7199999999999989</v>
      </c>
      <c r="AE44">
        <v>42</v>
      </c>
      <c r="AF44">
        <v>9</v>
      </c>
    </row>
    <row r="45" spans="6:34" ht="21" x14ac:dyDescent="0.25">
      <c r="F45">
        <f t="shared" si="0"/>
        <v>25.333333333333336</v>
      </c>
      <c r="G45">
        <v>0</v>
      </c>
      <c r="H45">
        <f t="shared" si="1"/>
        <v>100</v>
      </c>
      <c r="I45">
        <v>228</v>
      </c>
      <c r="J45">
        <v>42</v>
      </c>
      <c r="U45" s="6" t="s">
        <v>5</v>
      </c>
      <c r="V45" s="5" t="s">
        <v>4</v>
      </c>
      <c r="Y45" s="11"/>
      <c r="AB45">
        <f t="shared" si="6"/>
        <v>10.222222222222223</v>
      </c>
      <c r="AC45">
        <v>88.28</v>
      </c>
      <c r="AD45">
        <f t="shared" si="7"/>
        <v>11.719999999999999</v>
      </c>
      <c r="AE45">
        <v>46</v>
      </c>
      <c r="AF45">
        <v>10</v>
      </c>
    </row>
    <row r="46" spans="6:34" ht="15.75" thickBot="1" x14ac:dyDescent="0.3">
      <c r="U46" s="4">
        <v>225</v>
      </c>
      <c r="V46" s="4" t="s">
        <v>12</v>
      </c>
      <c r="Y46" s="11"/>
      <c r="AB46">
        <f t="shared" si="6"/>
        <v>11.111111111111111</v>
      </c>
      <c r="AC46">
        <v>84.52</v>
      </c>
      <c r="AD46">
        <f t="shared" si="7"/>
        <v>15.480000000000004</v>
      </c>
      <c r="AE46">
        <v>50</v>
      </c>
      <c r="AF46">
        <v>11</v>
      </c>
    </row>
    <row r="47" spans="6:34" ht="22.5" thickTop="1" thickBot="1" x14ac:dyDescent="0.3">
      <c r="P47" s="7" t="s">
        <v>6</v>
      </c>
      <c r="Q47" s="1" t="s">
        <v>0</v>
      </c>
      <c r="R47" s="2" t="s">
        <v>1</v>
      </c>
      <c r="S47" s="3" t="s">
        <v>2</v>
      </c>
      <c r="T47" s="8" t="s">
        <v>7</v>
      </c>
      <c r="Y47" s="11"/>
      <c r="AB47">
        <f t="shared" si="6"/>
        <v>12</v>
      </c>
      <c r="AC47">
        <v>78.02</v>
      </c>
      <c r="AD47">
        <f t="shared" si="7"/>
        <v>21.980000000000004</v>
      </c>
      <c r="AE47">
        <v>54</v>
      </c>
      <c r="AF47">
        <v>12</v>
      </c>
    </row>
    <row r="48" spans="6:34" ht="15.75" thickTop="1" x14ac:dyDescent="0.25">
      <c r="P48">
        <f>(S48/$U$46)*100</f>
        <v>4.4444444444444446</v>
      </c>
      <c r="Q48">
        <v>99.63</v>
      </c>
      <c r="R48">
        <f>100-Q48</f>
        <v>0.37000000000000455</v>
      </c>
      <c r="S48">
        <v>10</v>
      </c>
      <c r="T48">
        <v>1</v>
      </c>
      <c r="Y48" s="11"/>
      <c r="AB48">
        <f t="shared" si="6"/>
        <v>12.888888888888889</v>
      </c>
      <c r="AC48">
        <v>70.459999999999994</v>
      </c>
      <c r="AD48">
        <f t="shared" si="7"/>
        <v>29.540000000000006</v>
      </c>
      <c r="AE48">
        <v>58</v>
      </c>
      <c r="AF48">
        <v>13</v>
      </c>
    </row>
    <row r="49" spans="6:32" x14ac:dyDescent="0.25">
      <c r="P49">
        <f t="shared" ref="P49:P60" si="9">(S49/$U$46)*100</f>
        <v>6.666666666666667</v>
      </c>
      <c r="Q49">
        <v>98.27</v>
      </c>
      <c r="R49">
        <f t="shared" ref="R49:R60" si="10">100-Q49</f>
        <v>1.730000000000004</v>
      </c>
      <c r="S49">
        <v>15</v>
      </c>
      <c r="T49">
        <v>2</v>
      </c>
      <c r="Y49" s="11"/>
      <c r="AB49">
        <f t="shared" si="6"/>
        <v>13.777777777777779</v>
      </c>
      <c r="AC49">
        <v>60.32</v>
      </c>
      <c r="AD49">
        <f t="shared" si="7"/>
        <v>39.68</v>
      </c>
      <c r="AE49">
        <v>62</v>
      </c>
      <c r="AF49">
        <v>14</v>
      </c>
    </row>
    <row r="50" spans="6:32" ht="21" x14ac:dyDescent="0.25">
      <c r="K50" s="6" t="s">
        <v>5</v>
      </c>
      <c r="L50" s="5" t="s">
        <v>4</v>
      </c>
      <c r="P50">
        <f t="shared" si="9"/>
        <v>8.8888888888888893</v>
      </c>
      <c r="Q50">
        <v>94.96</v>
      </c>
      <c r="R50">
        <f t="shared" si="10"/>
        <v>5.0400000000000063</v>
      </c>
      <c r="S50">
        <v>20</v>
      </c>
      <c r="T50">
        <v>3</v>
      </c>
      <c r="Y50" s="11"/>
      <c r="AB50">
        <f t="shared" si="6"/>
        <v>14.666666666666666</v>
      </c>
      <c r="AC50">
        <v>49.7</v>
      </c>
      <c r="AD50">
        <f t="shared" si="7"/>
        <v>50.3</v>
      </c>
      <c r="AE50">
        <v>66</v>
      </c>
      <c r="AF50">
        <v>15</v>
      </c>
    </row>
    <row r="51" spans="6:32" ht="15.75" thickBot="1" x14ac:dyDescent="0.3">
      <c r="K51" s="4">
        <v>1225</v>
      </c>
      <c r="L51" s="4" t="s">
        <v>9</v>
      </c>
      <c r="P51">
        <f t="shared" si="9"/>
        <v>11.111111111111111</v>
      </c>
      <c r="Q51">
        <v>87.01</v>
      </c>
      <c r="R51">
        <f t="shared" si="10"/>
        <v>12.989999999999995</v>
      </c>
      <c r="S51">
        <v>25</v>
      </c>
      <c r="T51">
        <v>4</v>
      </c>
      <c r="Y51" s="11"/>
      <c r="AB51">
        <f t="shared" si="6"/>
        <v>15.555555555555555</v>
      </c>
      <c r="AC51">
        <v>39.6</v>
      </c>
      <c r="AD51">
        <f t="shared" si="7"/>
        <v>60.4</v>
      </c>
      <c r="AE51">
        <v>70</v>
      </c>
      <c r="AF51">
        <v>16</v>
      </c>
    </row>
    <row r="52" spans="6:32" ht="22.5" thickTop="1" thickBot="1" x14ac:dyDescent="0.3">
      <c r="F52" s="7" t="s">
        <v>6</v>
      </c>
      <c r="G52" s="1" t="s">
        <v>0</v>
      </c>
      <c r="H52" s="2" t="s">
        <v>1</v>
      </c>
      <c r="I52" s="3" t="s">
        <v>2</v>
      </c>
      <c r="J52" s="8" t="s">
        <v>7</v>
      </c>
      <c r="P52">
        <f t="shared" si="9"/>
        <v>13.333333333333334</v>
      </c>
      <c r="Q52">
        <v>72.41</v>
      </c>
      <c r="R52">
        <f t="shared" si="10"/>
        <v>27.590000000000003</v>
      </c>
      <c r="S52">
        <v>30</v>
      </c>
      <c r="T52">
        <v>5</v>
      </c>
      <c r="Y52" s="11"/>
      <c r="AB52">
        <f t="shared" si="6"/>
        <v>16.444444444444446</v>
      </c>
      <c r="AC52">
        <v>26.1</v>
      </c>
      <c r="AD52">
        <f t="shared" si="7"/>
        <v>73.900000000000006</v>
      </c>
      <c r="AE52">
        <v>74</v>
      </c>
      <c r="AF52">
        <v>17</v>
      </c>
    </row>
    <row r="53" spans="6:32" ht="15.75" thickTop="1" x14ac:dyDescent="0.25">
      <c r="F53">
        <f>(I53/$K$51)*100</f>
        <v>2.8571428571428572</v>
      </c>
      <c r="G53">
        <v>99.87</v>
      </c>
      <c r="H53">
        <f>100-G53</f>
        <v>0.12999999999999545</v>
      </c>
      <c r="I53">
        <v>35</v>
      </c>
      <c r="J53">
        <v>1</v>
      </c>
      <c r="P53">
        <f t="shared" si="9"/>
        <v>15.555555555555555</v>
      </c>
      <c r="Q53">
        <v>50.01</v>
      </c>
      <c r="R53">
        <f t="shared" si="10"/>
        <v>49.99</v>
      </c>
      <c r="S53">
        <v>35</v>
      </c>
      <c r="T53">
        <v>6</v>
      </c>
      <c r="Y53" s="11"/>
      <c r="AB53">
        <f t="shared" si="6"/>
        <v>17.333333333333336</v>
      </c>
      <c r="AC53">
        <v>17.62</v>
      </c>
      <c r="AD53">
        <f t="shared" si="7"/>
        <v>82.38</v>
      </c>
      <c r="AE53">
        <v>78</v>
      </c>
      <c r="AF53">
        <v>18</v>
      </c>
    </row>
    <row r="54" spans="6:32" x14ac:dyDescent="0.25">
      <c r="F54">
        <f t="shared" ref="F54:F102" si="11">(I54/$K$51)*100</f>
        <v>3.2653061224489797</v>
      </c>
      <c r="G54">
        <v>99.9</v>
      </c>
      <c r="H54">
        <f t="shared" ref="H54:H102" si="12">100-G54</f>
        <v>9.9999999999994316E-2</v>
      </c>
      <c r="I54">
        <v>40</v>
      </c>
      <c r="J54">
        <v>2</v>
      </c>
      <c r="P54">
        <f t="shared" si="9"/>
        <v>17.777777777777779</v>
      </c>
      <c r="Q54">
        <v>26.48</v>
      </c>
      <c r="R54">
        <f t="shared" si="10"/>
        <v>73.52</v>
      </c>
      <c r="S54">
        <v>40</v>
      </c>
      <c r="T54">
        <v>7</v>
      </c>
      <c r="Y54" s="11"/>
      <c r="AB54">
        <f t="shared" si="6"/>
        <v>18.222222222222221</v>
      </c>
      <c r="AC54">
        <v>10.4</v>
      </c>
      <c r="AD54">
        <f t="shared" si="7"/>
        <v>89.6</v>
      </c>
      <c r="AE54">
        <v>82</v>
      </c>
      <c r="AF54">
        <v>19</v>
      </c>
    </row>
    <row r="55" spans="6:32" x14ac:dyDescent="0.25">
      <c r="F55">
        <f t="shared" si="11"/>
        <v>3.6734693877551026</v>
      </c>
      <c r="G55">
        <v>99.9</v>
      </c>
      <c r="H55">
        <f t="shared" si="12"/>
        <v>9.9999999999994316E-2</v>
      </c>
      <c r="I55">
        <v>45</v>
      </c>
      <c r="J55">
        <v>3</v>
      </c>
      <c r="P55">
        <f t="shared" si="9"/>
        <v>20</v>
      </c>
      <c r="Q55">
        <v>9.58</v>
      </c>
      <c r="R55">
        <f t="shared" si="10"/>
        <v>90.42</v>
      </c>
      <c r="S55">
        <v>45</v>
      </c>
      <c r="T55">
        <v>8</v>
      </c>
      <c r="Y55" s="11"/>
      <c r="AB55">
        <f t="shared" si="6"/>
        <v>19.111111111111111</v>
      </c>
      <c r="AC55">
        <v>5.52</v>
      </c>
      <c r="AD55">
        <f t="shared" si="7"/>
        <v>94.48</v>
      </c>
      <c r="AE55">
        <v>86</v>
      </c>
      <c r="AF55">
        <v>20</v>
      </c>
    </row>
    <row r="56" spans="6:32" x14ac:dyDescent="0.25">
      <c r="F56">
        <f t="shared" si="11"/>
        <v>4.0816326530612246</v>
      </c>
      <c r="G56">
        <v>99.57</v>
      </c>
      <c r="H56">
        <f t="shared" si="12"/>
        <v>0.43000000000000682</v>
      </c>
      <c r="I56">
        <v>50</v>
      </c>
      <c r="J56">
        <v>4</v>
      </c>
      <c r="P56">
        <f t="shared" si="9"/>
        <v>22.222222222222221</v>
      </c>
      <c r="Q56">
        <v>2.15</v>
      </c>
      <c r="R56">
        <f t="shared" si="10"/>
        <v>97.85</v>
      </c>
      <c r="S56">
        <v>50</v>
      </c>
      <c r="T56">
        <v>9</v>
      </c>
      <c r="Y56" s="11"/>
      <c r="AB56">
        <f t="shared" si="6"/>
        <v>20</v>
      </c>
      <c r="AC56">
        <v>2.44</v>
      </c>
      <c r="AD56">
        <f t="shared" si="7"/>
        <v>97.56</v>
      </c>
      <c r="AE56">
        <v>90</v>
      </c>
      <c r="AF56">
        <v>21</v>
      </c>
    </row>
    <row r="57" spans="6:32" x14ac:dyDescent="0.25">
      <c r="F57">
        <f t="shared" si="11"/>
        <v>4.4897959183673466</v>
      </c>
      <c r="G57">
        <v>99.33</v>
      </c>
      <c r="H57">
        <f t="shared" si="12"/>
        <v>0.67000000000000171</v>
      </c>
      <c r="I57">
        <v>55</v>
      </c>
      <c r="J57">
        <v>5</v>
      </c>
      <c r="P57">
        <f t="shared" si="9"/>
        <v>24.444444444444443</v>
      </c>
      <c r="Q57">
        <v>0.39</v>
      </c>
      <c r="R57">
        <f t="shared" si="10"/>
        <v>99.61</v>
      </c>
      <c r="S57">
        <v>55</v>
      </c>
      <c r="T57">
        <v>10</v>
      </c>
      <c r="Y57" s="11"/>
      <c r="AB57">
        <f t="shared" si="6"/>
        <v>20.888888888888889</v>
      </c>
      <c r="AC57">
        <v>0.86</v>
      </c>
      <c r="AD57">
        <f t="shared" si="7"/>
        <v>99.14</v>
      </c>
      <c r="AE57">
        <v>94</v>
      </c>
      <c r="AF57">
        <v>22</v>
      </c>
    </row>
    <row r="58" spans="6:32" x14ac:dyDescent="0.25">
      <c r="F58">
        <f t="shared" si="11"/>
        <v>4.8979591836734695</v>
      </c>
      <c r="G58">
        <v>99.4</v>
      </c>
      <c r="H58">
        <f t="shared" si="12"/>
        <v>0.59999999999999432</v>
      </c>
      <c r="I58">
        <v>60</v>
      </c>
      <c r="J58">
        <v>6</v>
      </c>
      <c r="P58">
        <f t="shared" si="9"/>
        <v>26.666666666666668</v>
      </c>
      <c r="Q58">
        <v>0.03</v>
      </c>
      <c r="R58">
        <f t="shared" si="10"/>
        <v>99.97</v>
      </c>
      <c r="S58">
        <v>60</v>
      </c>
      <c r="T58">
        <v>11</v>
      </c>
      <c r="Y58" s="11"/>
      <c r="AB58">
        <f t="shared" si="6"/>
        <v>21.777777777777775</v>
      </c>
      <c r="AC58">
        <v>0.3</v>
      </c>
      <c r="AD58">
        <f t="shared" si="7"/>
        <v>99.7</v>
      </c>
      <c r="AE58">
        <v>98</v>
      </c>
      <c r="AF58">
        <v>23</v>
      </c>
    </row>
    <row r="59" spans="6:32" x14ac:dyDescent="0.25">
      <c r="F59">
        <f t="shared" si="11"/>
        <v>5.3061224489795915</v>
      </c>
      <c r="G59">
        <v>99.17</v>
      </c>
      <c r="H59">
        <f t="shared" si="12"/>
        <v>0.82999999999999829</v>
      </c>
      <c r="I59">
        <v>65</v>
      </c>
      <c r="J59">
        <v>7</v>
      </c>
      <c r="P59">
        <f t="shared" si="9"/>
        <v>28.888888888888886</v>
      </c>
      <c r="Q59">
        <v>0</v>
      </c>
      <c r="R59">
        <f t="shared" si="10"/>
        <v>100</v>
      </c>
      <c r="S59">
        <v>65</v>
      </c>
      <c r="T59">
        <v>12</v>
      </c>
      <c r="Y59" s="11"/>
      <c r="AB59">
        <f t="shared" si="6"/>
        <v>22.666666666666664</v>
      </c>
      <c r="AC59">
        <v>0.06</v>
      </c>
      <c r="AD59">
        <f t="shared" si="7"/>
        <v>99.94</v>
      </c>
      <c r="AE59">
        <v>102</v>
      </c>
      <c r="AF59">
        <v>24</v>
      </c>
    </row>
    <row r="60" spans="6:32" x14ac:dyDescent="0.25">
      <c r="F60">
        <f t="shared" si="11"/>
        <v>5.7142857142857144</v>
      </c>
      <c r="G60">
        <v>99.13</v>
      </c>
      <c r="H60">
        <f t="shared" si="12"/>
        <v>0.87000000000000455</v>
      </c>
      <c r="I60">
        <v>70</v>
      </c>
      <c r="J60">
        <v>8</v>
      </c>
      <c r="P60">
        <f t="shared" si="9"/>
        <v>31.111111111111111</v>
      </c>
      <c r="Q60">
        <v>0</v>
      </c>
      <c r="R60">
        <f t="shared" si="10"/>
        <v>100</v>
      </c>
      <c r="S60">
        <v>70</v>
      </c>
      <c r="T60">
        <v>13</v>
      </c>
      <c r="Y60" s="11"/>
      <c r="AB60">
        <f t="shared" si="6"/>
        <v>23.555555555555554</v>
      </c>
      <c r="AC60">
        <v>0</v>
      </c>
      <c r="AD60">
        <f t="shared" si="7"/>
        <v>100</v>
      </c>
      <c r="AE60">
        <v>106</v>
      </c>
      <c r="AF60">
        <v>25</v>
      </c>
    </row>
    <row r="61" spans="6:32" x14ac:dyDescent="0.25">
      <c r="F61">
        <f t="shared" si="11"/>
        <v>6.1224489795918364</v>
      </c>
      <c r="G61">
        <v>98.57</v>
      </c>
      <c r="H61">
        <f t="shared" si="12"/>
        <v>1.4300000000000068</v>
      </c>
      <c r="I61">
        <v>75</v>
      </c>
      <c r="J61">
        <v>9</v>
      </c>
      <c r="Y61" s="11"/>
    </row>
    <row r="62" spans="6:32" x14ac:dyDescent="0.25">
      <c r="F62">
        <f t="shared" si="11"/>
        <v>6.5306122448979593</v>
      </c>
      <c r="G62">
        <v>97.8</v>
      </c>
      <c r="H62">
        <f t="shared" si="12"/>
        <v>2.2000000000000028</v>
      </c>
      <c r="I62">
        <v>80</v>
      </c>
      <c r="J62">
        <v>10</v>
      </c>
      <c r="Y62" s="11"/>
    </row>
    <row r="63" spans="6:32" x14ac:dyDescent="0.25">
      <c r="F63">
        <f t="shared" si="11"/>
        <v>6.9387755102040813</v>
      </c>
      <c r="G63">
        <v>96.97</v>
      </c>
      <c r="H63">
        <f t="shared" si="12"/>
        <v>3.0300000000000011</v>
      </c>
      <c r="I63">
        <v>85</v>
      </c>
      <c r="J63">
        <v>11</v>
      </c>
      <c r="Y63" s="11"/>
    </row>
    <row r="64" spans="6:32" x14ac:dyDescent="0.25">
      <c r="F64">
        <f t="shared" si="11"/>
        <v>7.3469387755102051</v>
      </c>
      <c r="G64">
        <v>96.57</v>
      </c>
      <c r="H64">
        <f t="shared" si="12"/>
        <v>3.4300000000000068</v>
      </c>
      <c r="I64">
        <v>90</v>
      </c>
      <c r="J64">
        <v>12</v>
      </c>
      <c r="Y64" s="11"/>
    </row>
    <row r="65" spans="6:34" ht="21" x14ac:dyDescent="0.25">
      <c r="F65">
        <f t="shared" si="11"/>
        <v>7.7551020408163263</v>
      </c>
      <c r="G65">
        <v>94.6</v>
      </c>
      <c r="H65">
        <f t="shared" si="12"/>
        <v>5.4000000000000057</v>
      </c>
      <c r="I65">
        <v>95</v>
      </c>
      <c r="J65">
        <v>13</v>
      </c>
      <c r="U65" s="6" t="s">
        <v>5</v>
      </c>
      <c r="V65" s="5" t="s">
        <v>4</v>
      </c>
      <c r="Y65" s="11"/>
      <c r="AG65" s="6" t="s">
        <v>5</v>
      </c>
      <c r="AH65" s="5" t="s">
        <v>4</v>
      </c>
    </row>
    <row r="66" spans="6:34" ht="15.75" thickBot="1" x14ac:dyDescent="0.3">
      <c r="F66">
        <f t="shared" si="11"/>
        <v>8.1632653061224492</v>
      </c>
      <c r="G66">
        <v>94.43</v>
      </c>
      <c r="H66">
        <f t="shared" si="12"/>
        <v>5.5699999999999932</v>
      </c>
      <c r="I66">
        <v>100</v>
      </c>
      <c r="J66">
        <v>14</v>
      </c>
      <c r="U66" s="4">
        <v>400</v>
      </c>
      <c r="V66" s="4" t="s">
        <v>13</v>
      </c>
      <c r="Y66" s="11"/>
      <c r="AG66" s="4">
        <v>800</v>
      </c>
      <c r="AH66" s="4" t="s">
        <v>19</v>
      </c>
    </row>
    <row r="67" spans="6:34" ht="22.5" thickTop="1" thickBot="1" x14ac:dyDescent="0.3">
      <c r="F67">
        <f t="shared" si="11"/>
        <v>8.5714285714285712</v>
      </c>
      <c r="G67">
        <v>93.5</v>
      </c>
      <c r="H67">
        <f t="shared" si="12"/>
        <v>6.5</v>
      </c>
      <c r="I67">
        <v>105</v>
      </c>
      <c r="J67">
        <v>15</v>
      </c>
      <c r="P67" s="7" t="s">
        <v>6</v>
      </c>
      <c r="Q67" s="1" t="s">
        <v>0</v>
      </c>
      <c r="R67" s="2" t="s">
        <v>1</v>
      </c>
      <c r="S67" s="3" t="s">
        <v>2</v>
      </c>
      <c r="T67" s="8" t="s">
        <v>7</v>
      </c>
      <c r="Y67" s="11"/>
      <c r="AB67" s="7" t="s">
        <v>6</v>
      </c>
      <c r="AC67" s="1" t="s">
        <v>0</v>
      </c>
      <c r="AD67" s="2" t="s">
        <v>1</v>
      </c>
      <c r="AE67" s="3" t="s">
        <v>2</v>
      </c>
      <c r="AF67" s="8" t="s">
        <v>7</v>
      </c>
    </row>
    <row r="68" spans="6:34" ht="15.75" thickTop="1" x14ac:dyDescent="0.25">
      <c r="F68">
        <f t="shared" si="11"/>
        <v>8.9795918367346932</v>
      </c>
      <c r="G68">
        <v>92.13</v>
      </c>
      <c r="H68">
        <f t="shared" si="12"/>
        <v>7.8700000000000045</v>
      </c>
      <c r="I68">
        <v>110</v>
      </c>
      <c r="J68">
        <v>16</v>
      </c>
      <c r="P68">
        <f>(S68/$U$66)*100</f>
        <v>2.5</v>
      </c>
      <c r="Q68">
        <v>99.94</v>
      </c>
      <c r="R68">
        <f>100-Q68</f>
        <v>6.0000000000002274E-2</v>
      </c>
      <c r="S68">
        <v>10</v>
      </c>
      <c r="T68">
        <v>1</v>
      </c>
      <c r="Y68" s="11"/>
      <c r="AB68">
        <f>(AE68/$AG$66)*100</f>
        <v>5</v>
      </c>
      <c r="AC68">
        <v>99.07</v>
      </c>
      <c r="AD68">
        <f>100-AC68</f>
        <v>0.93000000000000682</v>
      </c>
      <c r="AE68">
        <v>40</v>
      </c>
      <c r="AF68">
        <v>1</v>
      </c>
    </row>
    <row r="69" spans="6:34" x14ac:dyDescent="0.25">
      <c r="F69">
        <f t="shared" si="11"/>
        <v>9.387755102040817</v>
      </c>
      <c r="G69">
        <v>90.33</v>
      </c>
      <c r="H69">
        <f t="shared" si="12"/>
        <v>9.6700000000000017</v>
      </c>
      <c r="I69">
        <v>115</v>
      </c>
      <c r="J69">
        <v>17</v>
      </c>
      <c r="P69">
        <f t="shared" ref="P69:P80" si="13">(S69/$U$66)*100</f>
        <v>3.75</v>
      </c>
      <c r="Q69">
        <v>99.77</v>
      </c>
      <c r="R69">
        <f t="shared" ref="R69:R80" si="14">100-Q69</f>
        <v>0.23000000000000398</v>
      </c>
      <c r="S69">
        <v>15</v>
      </c>
      <c r="T69">
        <v>2</v>
      </c>
      <c r="Y69" s="11"/>
      <c r="AB69">
        <f t="shared" ref="AB69:AB92" si="15">(AE69/$AG$66)*100</f>
        <v>6</v>
      </c>
      <c r="AC69">
        <v>98.43</v>
      </c>
      <c r="AD69">
        <f t="shared" ref="AD69:AD92" si="16">100-AC69</f>
        <v>1.5699999999999932</v>
      </c>
      <c r="AE69">
        <v>48</v>
      </c>
      <c r="AF69">
        <v>2</v>
      </c>
    </row>
    <row r="70" spans="6:34" x14ac:dyDescent="0.25">
      <c r="F70">
        <f t="shared" si="11"/>
        <v>9.795918367346939</v>
      </c>
      <c r="G70">
        <v>88.67</v>
      </c>
      <c r="H70">
        <f t="shared" si="12"/>
        <v>11.329999999999998</v>
      </c>
      <c r="I70">
        <v>120</v>
      </c>
      <c r="J70">
        <v>18</v>
      </c>
      <c r="P70">
        <f t="shared" si="13"/>
        <v>5</v>
      </c>
      <c r="Q70">
        <v>99.36</v>
      </c>
      <c r="R70">
        <f t="shared" si="14"/>
        <v>0.64000000000000057</v>
      </c>
      <c r="S70">
        <v>20</v>
      </c>
      <c r="T70">
        <v>3</v>
      </c>
      <c r="Y70" s="11"/>
      <c r="AB70">
        <f t="shared" si="15"/>
        <v>7.0000000000000009</v>
      </c>
      <c r="AC70">
        <v>97.17</v>
      </c>
      <c r="AD70">
        <f t="shared" si="16"/>
        <v>2.8299999999999983</v>
      </c>
      <c r="AE70">
        <v>56</v>
      </c>
      <c r="AF70">
        <v>3</v>
      </c>
    </row>
    <row r="71" spans="6:34" x14ac:dyDescent="0.25">
      <c r="F71">
        <f t="shared" si="11"/>
        <v>10.204081632653061</v>
      </c>
      <c r="G71">
        <v>86.4</v>
      </c>
      <c r="H71">
        <f t="shared" si="12"/>
        <v>13.599999999999994</v>
      </c>
      <c r="I71">
        <v>125</v>
      </c>
      <c r="J71">
        <v>19</v>
      </c>
      <c r="P71">
        <f t="shared" si="13"/>
        <v>6.25</v>
      </c>
      <c r="Q71">
        <v>98.57</v>
      </c>
      <c r="R71">
        <f t="shared" si="14"/>
        <v>1.4300000000000068</v>
      </c>
      <c r="S71">
        <v>25</v>
      </c>
      <c r="T71">
        <v>4</v>
      </c>
      <c r="Y71" s="11"/>
      <c r="AB71">
        <f t="shared" si="15"/>
        <v>8</v>
      </c>
      <c r="AC71">
        <v>95.17</v>
      </c>
      <c r="AD71">
        <f t="shared" si="16"/>
        <v>4.8299999999999983</v>
      </c>
      <c r="AE71">
        <v>64</v>
      </c>
      <c r="AF71">
        <v>4</v>
      </c>
    </row>
    <row r="72" spans="6:34" x14ac:dyDescent="0.25">
      <c r="F72">
        <f t="shared" si="11"/>
        <v>10.612244897959183</v>
      </c>
      <c r="G72">
        <v>83.63</v>
      </c>
      <c r="H72">
        <f t="shared" si="12"/>
        <v>16.370000000000005</v>
      </c>
      <c r="I72">
        <v>130</v>
      </c>
      <c r="J72">
        <v>20</v>
      </c>
      <c r="P72">
        <f t="shared" si="13"/>
        <v>7.5</v>
      </c>
      <c r="Q72">
        <v>97.04</v>
      </c>
      <c r="R72">
        <f t="shared" si="14"/>
        <v>2.9599999999999937</v>
      </c>
      <c r="S72">
        <v>30</v>
      </c>
      <c r="T72">
        <v>5</v>
      </c>
      <c r="Y72" s="11"/>
      <c r="AB72">
        <f t="shared" si="15"/>
        <v>9</v>
      </c>
      <c r="AC72">
        <v>92.12</v>
      </c>
      <c r="AD72">
        <f t="shared" si="16"/>
        <v>7.8799999999999955</v>
      </c>
      <c r="AE72">
        <v>72</v>
      </c>
      <c r="AF72">
        <v>5</v>
      </c>
    </row>
    <row r="73" spans="6:34" x14ac:dyDescent="0.25">
      <c r="F73">
        <f t="shared" si="11"/>
        <v>11.020408163265307</v>
      </c>
      <c r="G73">
        <v>81.53</v>
      </c>
      <c r="H73">
        <f t="shared" si="12"/>
        <v>18.47</v>
      </c>
      <c r="I73">
        <v>135</v>
      </c>
      <c r="J73">
        <v>21</v>
      </c>
      <c r="P73">
        <f t="shared" si="13"/>
        <v>8.75</v>
      </c>
      <c r="Q73">
        <v>94.57</v>
      </c>
      <c r="R73">
        <f t="shared" si="14"/>
        <v>5.4300000000000068</v>
      </c>
      <c r="S73">
        <v>35</v>
      </c>
      <c r="T73">
        <v>6</v>
      </c>
      <c r="Y73" s="11"/>
      <c r="AB73">
        <f t="shared" si="15"/>
        <v>10</v>
      </c>
      <c r="AC73">
        <v>88.13</v>
      </c>
      <c r="AD73">
        <f t="shared" si="16"/>
        <v>11.870000000000005</v>
      </c>
      <c r="AE73">
        <v>80</v>
      </c>
      <c r="AF73">
        <v>6</v>
      </c>
    </row>
    <row r="74" spans="6:34" x14ac:dyDescent="0.25">
      <c r="F74">
        <f t="shared" si="11"/>
        <v>11.428571428571429</v>
      </c>
      <c r="G74">
        <v>77.83</v>
      </c>
      <c r="H74">
        <f t="shared" si="12"/>
        <v>22.17</v>
      </c>
      <c r="I74">
        <v>140</v>
      </c>
      <c r="J74">
        <v>22</v>
      </c>
      <c r="P74">
        <f t="shared" si="13"/>
        <v>10</v>
      </c>
      <c r="Q74">
        <v>90.69</v>
      </c>
      <c r="R74">
        <f t="shared" si="14"/>
        <v>9.3100000000000023</v>
      </c>
      <c r="S74">
        <v>40</v>
      </c>
      <c r="T74">
        <v>7</v>
      </c>
      <c r="Y74" s="11"/>
      <c r="AB74">
        <f t="shared" si="15"/>
        <v>11</v>
      </c>
      <c r="AC74">
        <v>82.97</v>
      </c>
      <c r="AD74">
        <f t="shared" si="16"/>
        <v>17.03</v>
      </c>
      <c r="AE74">
        <v>88</v>
      </c>
      <c r="AF74">
        <v>7</v>
      </c>
    </row>
    <row r="75" spans="6:34" x14ac:dyDescent="0.25">
      <c r="F75">
        <f t="shared" si="11"/>
        <v>11.836734693877551</v>
      </c>
      <c r="G75">
        <v>76.37</v>
      </c>
      <c r="H75">
        <f t="shared" si="12"/>
        <v>23.629999999999995</v>
      </c>
      <c r="I75">
        <v>145</v>
      </c>
      <c r="J75">
        <v>23</v>
      </c>
      <c r="P75">
        <f t="shared" si="13"/>
        <v>11.25</v>
      </c>
      <c r="Q75">
        <v>84.32</v>
      </c>
      <c r="R75">
        <f t="shared" si="14"/>
        <v>15.680000000000007</v>
      </c>
      <c r="S75">
        <v>45</v>
      </c>
      <c r="T75">
        <v>8</v>
      </c>
      <c r="Y75" s="11"/>
      <c r="AB75">
        <f t="shared" si="15"/>
        <v>12</v>
      </c>
      <c r="AC75">
        <v>76.67</v>
      </c>
      <c r="AD75">
        <f t="shared" si="16"/>
        <v>23.33</v>
      </c>
      <c r="AE75">
        <v>96</v>
      </c>
      <c r="AF75">
        <v>8</v>
      </c>
    </row>
    <row r="76" spans="6:34" x14ac:dyDescent="0.25">
      <c r="F76">
        <f t="shared" si="11"/>
        <v>12.244897959183673</v>
      </c>
      <c r="G76">
        <v>72.17</v>
      </c>
      <c r="H76">
        <f t="shared" si="12"/>
        <v>27.83</v>
      </c>
      <c r="I76">
        <v>150</v>
      </c>
      <c r="J76">
        <v>24</v>
      </c>
      <c r="P76">
        <f t="shared" si="13"/>
        <v>12.5</v>
      </c>
      <c r="Q76">
        <v>76.2</v>
      </c>
      <c r="R76">
        <f t="shared" si="14"/>
        <v>23.799999999999997</v>
      </c>
      <c r="S76">
        <v>50</v>
      </c>
      <c r="T76">
        <v>9</v>
      </c>
      <c r="Y76" s="11"/>
      <c r="AB76">
        <f t="shared" si="15"/>
        <v>13</v>
      </c>
      <c r="AC76">
        <v>66.53</v>
      </c>
      <c r="AD76">
        <f t="shared" si="16"/>
        <v>33.47</v>
      </c>
      <c r="AE76">
        <v>104</v>
      </c>
      <c r="AF76">
        <v>9</v>
      </c>
    </row>
    <row r="77" spans="6:34" x14ac:dyDescent="0.25">
      <c r="F77">
        <f t="shared" si="11"/>
        <v>12.653061224489795</v>
      </c>
      <c r="G77">
        <v>67.8</v>
      </c>
      <c r="H77">
        <f t="shared" si="12"/>
        <v>32.200000000000003</v>
      </c>
      <c r="I77">
        <v>155</v>
      </c>
      <c r="J77">
        <v>25</v>
      </c>
      <c r="P77">
        <f t="shared" si="13"/>
        <v>13.750000000000002</v>
      </c>
      <c r="Q77">
        <v>64.42</v>
      </c>
      <c r="R77">
        <f t="shared" si="14"/>
        <v>35.58</v>
      </c>
      <c r="S77">
        <v>55</v>
      </c>
      <c r="T77">
        <v>10</v>
      </c>
      <c r="Y77" s="11"/>
      <c r="AB77">
        <f t="shared" si="15"/>
        <v>14.000000000000002</v>
      </c>
      <c r="AC77">
        <v>55.43</v>
      </c>
      <c r="AD77">
        <f t="shared" si="16"/>
        <v>44.57</v>
      </c>
      <c r="AE77">
        <v>112</v>
      </c>
      <c r="AF77">
        <v>10</v>
      </c>
    </row>
    <row r="78" spans="6:34" x14ac:dyDescent="0.25">
      <c r="F78">
        <f t="shared" si="11"/>
        <v>13.061224489795919</v>
      </c>
      <c r="G78">
        <v>64.599999999999994</v>
      </c>
      <c r="H78">
        <f t="shared" si="12"/>
        <v>35.400000000000006</v>
      </c>
      <c r="I78">
        <v>160</v>
      </c>
      <c r="J78">
        <v>26</v>
      </c>
      <c r="P78">
        <f t="shared" si="13"/>
        <v>15</v>
      </c>
      <c r="Q78">
        <v>51.19</v>
      </c>
      <c r="R78">
        <f t="shared" si="14"/>
        <v>48.81</v>
      </c>
      <c r="S78">
        <v>60</v>
      </c>
      <c r="T78">
        <v>11</v>
      </c>
      <c r="Y78" s="11"/>
      <c r="AB78">
        <f t="shared" si="15"/>
        <v>15</v>
      </c>
      <c r="AC78">
        <v>41.87</v>
      </c>
      <c r="AD78">
        <f t="shared" si="16"/>
        <v>58.13</v>
      </c>
      <c r="AE78">
        <v>120</v>
      </c>
      <c r="AF78">
        <v>11</v>
      </c>
    </row>
    <row r="79" spans="6:34" x14ac:dyDescent="0.25">
      <c r="F79">
        <f t="shared" si="11"/>
        <v>13.469387755102041</v>
      </c>
      <c r="G79">
        <v>57.73</v>
      </c>
      <c r="H79">
        <f t="shared" si="12"/>
        <v>42.27</v>
      </c>
      <c r="I79">
        <v>165</v>
      </c>
      <c r="J79">
        <v>27</v>
      </c>
      <c r="P79">
        <f t="shared" si="13"/>
        <v>16.25</v>
      </c>
      <c r="Q79">
        <v>35.880000000000003</v>
      </c>
      <c r="R79">
        <f t="shared" si="14"/>
        <v>64.12</v>
      </c>
      <c r="S79">
        <v>65</v>
      </c>
      <c r="T79">
        <v>12</v>
      </c>
      <c r="Y79" s="11"/>
      <c r="AB79">
        <f t="shared" si="15"/>
        <v>16</v>
      </c>
      <c r="AC79">
        <v>27.87</v>
      </c>
      <c r="AD79">
        <f t="shared" si="16"/>
        <v>72.13</v>
      </c>
      <c r="AE79">
        <v>128</v>
      </c>
      <c r="AF79">
        <v>12</v>
      </c>
    </row>
    <row r="80" spans="6:34" x14ac:dyDescent="0.25">
      <c r="F80">
        <f t="shared" si="11"/>
        <v>13.877551020408163</v>
      </c>
      <c r="G80">
        <v>53.37</v>
      </c>
      <c r="H80">
        <f t="shared" si="12"/>
        <v>46.63</v>
      </c>
      <c r="I80">
        <v>170</v>
      </c>
      <c r="J80">
        <v>28</v>
      </c>
      <c r="P80">
        <f t="shared" si="13"/>
        <v>17.5</v>
      </c>
      <c r="Q80">
        <v>21.37</v>
      </c>
      <c r="R80">
        <f t="shared" si="14"/>
        <v>78.63</v>
      </c>
      <c r="S80">
        <v>70</v>
      </c>
      <c r="T80">
        <v>13</v>
      </c>
      <c r="Y80" s="11"/>
      <c r="AB80">
        <f t="shared" si="15"/>
        <v>17</v>
      </c>
      <c r="AC80">
        <v>15.97</v>
      </c>
      <c r="AD80">
        <f t="shared" si="16"/>
        <v>84.03</v>
      </c>
      <c r="AE80">
        <v>136</v>
      </c>
      <c r="AF80">
        <v>13</v>
      </c>
    </row>
    <row r="81" spans="6:32" x14ac:dyDescent="0.25">
      <c r="F81">
        <f t="shared" si="11"/>
        <v>14.285714285714285</v>
      </c>
      <c r="G81">
        <v>49.9</v>
      </c>
      <c r="H81">
        <f t="shared" si="12"/>
        <v>50.1</v>
      </c>
      <c r="I81">
        <v>175</v>
      </c>
      <c r="J81">
        <v>29</v>
      </c>
      <c r="P81">
        <f>(S81/$U$66)*100</f>
        <v>18.75</v>
      </c>
      <c r="Q81">
        <v>10.53</v>
      </c>
      <c r="R81">
        <f>100-Q81</f>
        <v>89.47</v>
      </c>
      <c r="S81">
        <v>75</v>
      </c>
      <c r="T81">
        <v>14</v>
      </c>
      <c r="Y81" s="11"/>
      <c r="AB81">
        <f t="shared" si="15"/>
        <v>18</v>
      </c>
      <c r="AC81">
        <v>7.83</v>
      </c>
      <c r="AD81">
        <f t="shared" si="16"/>
        <v>92.17</v>
      </c>
      <c r="AE81">
        <v>144</v>
      </c>
      <c r="AF81">
        <v>14</v>
      </c>
    </row>
    <row r="82" spans="6:32" x14ac:dyDescent="0.25">
      <c r="F82">
        <f t="shared" si="11"/>
        <v>14.69387755102041</v>
      </c>
      <c r="G82">
        <v>42.63</v>
      </c>
      <c r="H82">
        <f t="shared" si="12"/>
        <v>57.37</v>
      </c>
      <c r="I82">
        <v>180</v>
      </c>
      <c r="J82">
        <v>30</v>
      </c>
      <c r="P82">
        <f t="shared" ref="P82:P86" si="17">(S82/$U$66)*100</f>
        <v>20</v>
      </c>
      <c r="Q82">
        <v>4.29</v>
      </c>
      <c r="R82">
        <f t="shared" ref="R82:R86" si="18">100-Q82</f>
        <v>95.71</v>
      </c>
      <c r="S82">
        <v>80</v>
      </c>
      <c r="T82">
        <v>15</v>
      </c>
      <c r="Y82" s="11"/>
      <c r="AB82">
        <f t="shared" si="15"/>
        <v>19</v>
      </c>
      <c r="AC82">
        <v>2.8</v>
      </c>
      <c r="AD82">
        <f t="shared" si="16"/>
        <v>97.2</v>
      </c>
      <c r="AE82">
        <v>152</v>
      </c>
      <c r="AF82">
        <v>15</v>
      </c>
    </row>
    <row r="83" spans="6:32" x14ac:dyDescent="0.25">
      <c r="F83">
        <f t="shared" si="11"/>
        <v>15.102040816326531</v>
      </c>
      <c r="G83">
        <v>37.1</v>
      </c>
      <c r="H83">
        <f t="shared" si="12"/>
        <v>62.9</v>
      </c>
      <c r="I83">
        <v>185</v>
      </c>
      <c r="J83">
        <v>31</v>
      </c>
      <c r="P83">
        <f t="shared" si="17"/>
        <v>21.25</v>
      </c>
      <c r="Q83">
        <v>1.33</v>
      </c>
      <c r="R83">
        <f t="shared" si="18"/>
        <v>98.67</v>
      </c>
      <c r="S83">
        <v>85</v>
      </c>
      <c r="T83">
        <v>16</v>
      </c>
      <c r="Y83" s="11"/>
      <c r="AB83">
        <f t="shared" si="15"/>
        <v>20</v>
      </c>
      <c r="AC83">
        <v>0.93</v>
      </c>
      <c r="AD83">
        <f t="shared" si="16"/>
        <v>99.07</v>
      </c>
      <c r="AE83">
        <v>160</v>
      </c>
      <c r="AF83">
        <v>16</v>
      </c>
    </row>
    <row r="84" spans="6:32" x14ac:dyDescent="0.25">
      <c r="F84">
        <f t="shared" si="11"/>
        <v>15.510204081632653</v>
      </c>
      <c r="G84">
        <v>32.729999999999997</v>
      </c>
      <c r="H84">
        <f t="shared" si="12"/>
        <v>67.27000000000001</v>
      </c>
      <c r="I84">
        <v>190</v>
      </c>
      <c r="J84">
        <v>32</v>
      </c>
      <c r="P84">
        <f t="shared" si="17"/>
        <v>22.5</v>
      </c>
      <c r="Q84">
        <v>0.28000000000000003</v>
      </c>
      <c r="R84">
        <f t="shared" si="18"/>
        <v>99.72</v>
      </c>
      <c r="S84">
        <v>90</v>
      </c>
      <c r="T84">
        <v>17</v>
      </c>
      <c r="Y84" s="11"/>
      <c r="AB84">
        <f t="shared" si="15"/>
        <v>21</v>
      </c>
      <c r="AC84">
        <v>0.17</v>
      </c>
      <c r="AD84">
        <f t="shared" si="16"/>
        <v>99.83</v>
      </c>
      <c r="AE84">
        <v>168</v>
      </c>
      <c r="AF84">
        <v>17</v>
      </c>
    </row>
    <row r="85" spans="6:32" x14ac:dyDescent="0.25">
      <c r="F85">
        <f t="shared" si="11"/>
        <v>15.918367346938775</v>
      </c>
      <c r="G85">
        <v>25.7</v>
      </c>
      <c r="H85">
        <f t="shared" si="12"/>
        <v>74.3</v>
      </c>
      <c r="I85">
        <v>195</v>
      </c>
      <c r="J85">
        <v>33</v>
      </c>
      <c r="P85">
        <f t="shared" si="17"/>
        <v>23.75</v>
      </c>
      <c r="Q85">
        <v>7.0000000000000007E-2</v>
      </c>
      <c r="R85">
        <f t="shared" si="18"/>
        <v>99.93</v>
      </c>
      <c r="S85">
        <v>95</v>
      </c>
      <c r="T85">
        <v>18</v>
      </c>
      <c r="Y85" s="11"/>
      <c r="AB85">
        <f t="shared" si="15"/>
        <v>22</v>
      </c>
      <c r="AC85">
        <v>0.13</v>
      </c>
      <c r="AD85">
        <f t="shared" si="16"/>
        <v>99.87</v>
      </c>
      <c r="AE85">
        <v>176</v>
      </c>
      <c r="AF85">
        <v>18</v>
      </c>
    </row>
    <row r="86" spans="6:32" x14ac:dyDescent="0.25">
      <c r="F86">
        <f t="shared" si="11"/>
        <v>16.326530612244898</v>
      </c>
      <c r="G86">
        <v>25.13</v>
      </c>
      <c r="H86">
        <f t="shared" si="12"/>
        <v>74.87</v>
      </c>
      <c r="I86">
        <v>200</v>
      </c>
      <c r="J86">
        <v>34</v>
      </c>
      <c r="P86">
        <f t="shared" si="17"/>
        <v>25</v>
      </c>
      <c r="Q86">
        <v>0.01</v>
      </c>
      <c r="R86">
        <f t="shared" si="18"/>
        <v>99.99</v>
      </c>
      <c r="S86">
        <v>100</v>
      </c>
      <c r="T86">
        <v>19</v>
      </c>
      <c r="Y86" s="11"/>
      <c r="AB86">
        <f t="shared" si="15"/>
        <v>23</v>
      </c>
      <c r="AC86">
        <v>0</v>
      </c>
      <c r="AD86">
        <f t="shared" si="16"/>
        <v>100</v>
      </c>
      <c r="AE86">
        <v>184</v>
      </c>
      <c r="AF86">
        <v>19</v>
      </c>
    </row>
    <row r="87" spans="6:32" x14ac:dyDescent="0.25">
      <c r="F87">
        <f t="shared" si="11"/>
        <v>16.73469387755102</v>
      </c>
      <c r="G87">
        <v>18.170000000000002</v>
      </c>
      <c r="H87">
        <f t="shared" si="12"/>
        <v>81.83</v>
      </c>
      <c r="I87">
        <v>205</v>
      </c>
      <c r="J87">
        <v>35</v>
      </c>
      <c r="Y87" s="11"/>
      <c r="AB87">
        <f t="shared" si="15"/>
        <v>24</v>
      </c>
      <c r="AC87">
        <v>0</v>
      </c>
      <c r="AD87">
        <f t="shared" si="16"/>
        <v>100</v>
      </c>
      <c r="AE87">
        <v>192</v>
      </c>
      <c r="AF87">
        <v>20</v>
      </c>
    </row>
    <row r="88" spans="6:32" x14ac:dyDescent="0.25">
      <c r="F88">
        <f t="shared" si="11"/>
        <v>17.142857142857142</v>
      </c>
      <c r="G88">
        <v>15.9</v>
      </c>
      <c r="H88">
        <f t="shared" si="12"/>
        <v>84.1</v>
      </c>
      <c r="I88">
        <v>210</v>
      </c>
      <c r="J88">
        <v>36</v>
      </c>
      <c r="Y88" s="11"/>
      <c r="AB88">
        <f t="shared" si="15"/>
        <v>25</v>
      </c>
      <c r="AC88">
        <v>0</v>
      </c>
      <c r="AD88">
        <f t="shared" si="16"/>
        <v>100</v>
      </c>
      <c r="AE88">
        <v>200</v>
      </c>
      <c r="AF88">
        <v>21</v>
      </c>
    </row>
    <row r="89" spans="6:32" x14ac:dyDescent="0.25">
      <c r="F89">
        <f t="shared" si="11"/>
        <v>17.551020408163264</v>
      </c>
      <c r="G89">
        <v>10.8</v>
      </c>
      <c r="H89">
        <f t="shared" si="12"/>
        <v>89.2</v>
      </c>
      <c r="I89">
        <v>215</v>
      </c>
      <c r="J89">
        <v>37</v>
      </c>
      <c r="Y89" s="11"/>
      <c r="AB89">
        <f t="shared" si="15"/>
        <v>26</v>
      </c>
      <c r="AC89">
        <v>0</v>
      </c>
      <c r="AD89">
        <f t="shared" si="16"/>
        <v>100</v>
      </c>
      <c r="AE89">
        <v>208</v>
      </c>
      <c r="AF89">
        <v>22</v>
      </c>
    </row>
    <row r="90" spans="6:32" x14ac:dyDescent="0.25">
      <c r="F90">
        <f t="shared" si="11"/>
        <v>17.959183673469386</v>
      </c>
      <c r="G90">
        <v>8.1999999999999993</v>
      </c>
      <c r="H90">
        <f t="shared" si="12"/>
        <v>91.8</v>
      </c>
      <c r="I90">
        <v>220</v>
      </c>
      <c r="J90">
        <v>38</v>
      </c>
      <c r="Y90" s="11"/>
      <c r="AB90">
        <f t="shared" si="15"/>
        <v>27</v>
      </c>
      <c r="AC90">
        <v>0</v>
      </c>
      <c r="AD90">
        <f t="shared" si="16"/>
        <v>100</v>
      </c>
      <c r="AE90">
        <v>216</v>
      </c>
      <c r="AF90">
        <v>23</v>
      </c>
    </row>
    <row r="91" spans="6:32" ht="21" x14ac:dyDescent="0.25">
      <c r="F91">
        <f t="shared" si="11"/>
        <v>18.367346938775512</v>
      </c>
      <c r="G91">
        <v>5.97</v>
      </c>
      <c r="H91">
        <f t="shared" si="12"/>
        <v>94.03</v>
      </c>
      <c r="I91">
        <v>225</v>
      </c>
      <c r="J91">
        <v>39</v>
      </c>
      <c r="U91" s="6" t="s">
        <v>5</v>
      </c>
      <c r="V91" s="5" t="s">
        <v>4</v>
      </c>
      <c r="Y91" s="11"/>
      <c r="AB91">
        <f t="shared" si="15"/>
        <v>28.000000000000004</v>
      </c>
      <c r="AC91">
        <v>0</v>
      </c>
      <c r="AD91">
        <f t="shared" si="16"/>
        <v>100</v>
      </c>
      <c r="AE91">
        <v>224</v>
      </c>
      <c r="AF91">
        <v>24</v>
      </c>
    </row>
    <row r="92" spans="6:32" ht="15.75" thickBot="1" x14ac:dyDescent="0.3">
      <c r="F92">
        <f t="shared" si="11"/>
        <v>18.775510204081634</v>
      </c>
      <c r="G92">
        <v>3.33</v>
      </c>
      <c r="H92">
        <f t="shared" si="12"/>
        <v>96.67</v>
      </c>
      <c r="I92">
        <v>230</v>
      </c>
      <c r="J92">
        <v>40</v>
      </c>
      <c r="U92" s="4">
        <v>625</v>
      </c>
      <c r="V92" s="4" t="s">
        <v>14</v>
      </c>
      <c r="Y92" s="11"/>
      <c r="AB92">
        <f t="shared" si="15"/>
        <v>28.999999999999996</v>
      </c>
      <c r="AC92">
        <v>0</v>
      </c>
      <c r="AD92">
        <f t="shared" si="16"/>
        <v>100</v>
      </c>
      <c r="AE92">
        <v>232</v>
      </c>
      <c r="AF92">
        <v>25</v>
      </c>
    </row>
    <row r="93" spans="6:32" ht="22.5" thickTop="1" thickBot="1" x14ac:dyDescent="0.3">
      <c r="F93">
        <f t="shared" si="11"/>
        <v>19.183673469387756</v>
      </c>
      <c r="G93">
        <v>2.13</v>
      </c>
      <c r="H93">
        <f t="shared" si="12"/>
        <v>97.87</v>
      </c>
      <c r="I93">
        <v>235</v>
      </c>
      <c r="J93">
        <v>41</v>
      </c>
      <c r="P93" s="7" t="s">
        <v>6</v>
      </c>
      <c r="Q93" s="1" t="s">
        <v>0</v>
      </c>
      <c r="R93" s="2" t="s">
        <v>1</v>
      </c>
      <c r="S93" s="3" t="s">
        <v>2</v>
      </c>
      <c r="T93" s="8" t="s">
        <v>7</v>
      </c>
      <c r="Y93" s="11"/>
    </row>
    <row r="94" spans="6:32" ht="15.75" thickTop="1" x14ac:dyDescent="0.25">
      <c r="F94">
        <f t="shared" si="11"/>
        <v>19.591836734693878</v>
      </c>
      <c r="G94">
        <v>1.2</v>
      </c>
      <c r="H94">
        <f t="shared" si="12"/>
        <v>98.8</v>
      </c>
      <c r="I94">
        <v>240</v>
      </c>
      <c r="J94">
        <v>42</v>
      </c>
      <c r="P94">
        <f>(S94/$U$92)*100</f>
        <v>7.1999999999999993</v>
      </c>
      <c r="Q94">
        <v>96.9</v>
      </c>
      <c r="R94">
        <f>100-Q94</f>
        <v>3.0999999999999943</v>
      </c>
      <c r="S94">
        <v>45</v>
      </c>
      <c r="T94">
        <v>1</v>
      </c>
      <c r="Y94" s="11"/>
    </row>
    <row r="95" spans="6:32" x14ac:dyDescent="0.25">
      <c r="F95">
        <f t="shared" si="11"/>
        <v>20</v>
      </c>
      <c r="G95">
        <v>0.43</v>
      </c>
      <c r="H95">
        <f t="shared" si="12"/>
        <v>99.57</v>
      </c>
      <c r="I95">
        <v>245</v>
      </c>
      <c r="J95">
        <v>43</v>
      </c>
      <c r="P95">
        <f t="shared" ref="P95:P115" si="19">(S95/$U$92)*100</f>
        <v>8</v>
      </c>
      <c r="Q95">
        <v>95.77</v>
      </c>
      <c r="R95">
        <f t="shared" ref="R95:R106" si="20">100-Q95</f>
        <v>4.230000000000004</v>
      </c>
      <c r="S95">
        <v>50</v>
      </c>
      <c r="T95">
        <v>2</v>
      </c>
      <c r="Y95" s="11"/>
    </row>
    <row r="96" spans="6:32" x14ac:dyDescent="0.25">
      <c r="F96">
        <f t="shared" si="11"/>
        <v>20.408163265306122</v>
      </c>
      <c r="G96">
        <v>0.17</v>
      </c>
      <c r="H96">
        <f t="shared" si="12"/>
        <v>99.83</v>
      </c>
      <c r="I96">
        <v>250</v>
      </c>
      <c r="J96">
        <v>44</v>
      </c>
      <c r="P96">
        <f t="shared" si="19"/>
        <v>8.7999999999999989</v>
      </c>
      <c r="Q96">
        <v>93.86</v>
      </c>
      <c r="R96">
        <f t="shared" si="20"/>
        <v>6.1400000000000006</v>
      </c>
      <c r="S96">
        <v>55</v>
      </c>
      <c r="T96">
        <v>3</v>
      </c>
      <c r="Y96" s="11"/>
    </row>
    <row r="97" spans="6:34" ht="21" x14ac:dyDescent="0.25">
      <c r="F97">
        <f t="shared" si="11"/>
        <v>20.816326530612244</v>
      </c>
      <c r="G97">
        <v>0.03</v>
      </c>
      <c r="H97">
        <f t="shared" si="12"/>
        <v>99.97</v>
      </c>
      <c r="I97">
        <v>255</v>
      </c>
      <c r="J97">
        <v>45</v>
      </c>
      <c r="P97">
        <f t="shared" si="19"/>
        <v>9.6</v>
      </c>
      <c r="Q97">
        <v>90.93</v>
      </c>
      <c r="R97">
        <f t="shared" si="20"/>
        <v>9.0699999999999932</v>
      </c>
      <c r="S97">
        <v>60</v>
      </c>
      <c r="T97">
        <v>4</v>
      </c>
      <c r="Y97" s="11"/>
      <c r="AG97" s="6" t="s">
        <v>5</v>
      </c>
      <c r="AH97" s="5" t="s">
        <v>4</v>
      </c>
    </row>
    <row r="98" spans="6:34" ht="15.75" thickBot="1" x14ac:dyDescent="0.3">
      <c r="F98">
        <f t="shared" si="11"/>
        <v>21.224489795918366</v>
      </c>
      <c r="G98">
        <v>7.0000000000000007E-2</v>
      </c>
      <c r="H98">
        <f t="shared" si="12"/>
        <v>99.93</v>
      </c>
      <c r="I98">
        <v>260</v>
      </c>
      <c r="J98">
        <v>46</v>
      </c>
      <c r="P98">
        <f t="shared" si="19"/>
        <v>10.4</v>
      </c>
      <c r="Q98">
        <v>87.57</v>
      </c>
      <c r="R98">
        <f t="shared" si="20"/>
        <v>12.430000000000007</v>
      </c>
      <c r="S98">
        <v>65</v>
      </c>
      <c r="T98">
        <v>5</v>
      </c>
      <c r="Y98" s="11"/>
      <c r="AG98" s="4">
        <v>1250</v>
      </c>
      <c r="AH98" s="4" t="s">
        <v>20</v>
      </c>
    </row>
    <row r="99" spans="6:34" ht="22.5" thickTop="1" thickBot="1" x14ac:dyDescent="0.3">
      <c r="F99">
        <f t="shared" si="11"/>
        <v>21.632653061224492</v>
      </c>
      <c r="G99">
        <v>0</v>
      </c>
      <c r="H99">
        <f t="shared" si="12"/>
        <v>100</v>
      </c>
      <c r="I99">
        <v>265</v>
      </c>
      <c r="J99">
        <v>47</v>
      </c>
      <c r="P99">
        <f t="shared" si="19"/>
        <v>11.200000000000001</v>
      </c>
      <c r="Q99">
        <v>83.1</v>
      </c>
      <c r="R99">
        <f t="shared" si="20"/>
        <v>16.900000000000006</v>
      </c>
      <c r="S99">
        <v>70</v>
      </c>
      <c r="T99">
        <v>6</v>
      </c>
      <c r="Y99" s="11"/>
      <c r="AB99" s="7" t="s">
        <v>6</v>
      </c>
      <c r="AC99" s="1" t="s">
        <v>0</v>
      </c>
      <c r="AD99" s="2" t="s">
        <v>1</v>
      </c>
      <c r="AE99" s="3" t="s">
        <v>2</v>
      </c>
      <c r="AF99" s="8" t="s">
        <v>7</v>
      </c>
    </row>
    <row r="100" spans="6:34" ht="15.75" thickTop="1" x14ac:dyDescent="0.25">
      <c r="F100">
        <f t="shared" si="11"/>
        <v>22.040816326530614</v>
      </c>
      <c r="G100">
        <v>0.03</v>
      </c>
      <c r="H100">
        <f t="shared" si="12"/>
        <v>99.97</v>
      </c>
      <c r="I100">
        <v>270</v>
      </c>
      <c r="J100">
        <v>48</v>
      </c>
      <c r="P100">
        <f t="shared" si="19"/>
        <v>12</v>
      </c>
      <c r="Q100">
        <v>77.92</v>
      </c>
      <c r="R100">
        <f t="shared" si="20"/>
        <v>22.08</v>
      </c>
      <c r="S100">
        <v>75</v>
      </c>
      <c r="T100">
        <v>7</v>
      </c>
      <c r="Y100" s="11"/>
      <c r="AB100">
        <f>(AE100/$AG$98)*100</f>
        <v>4.96</v>
      </c>
      <c r="AC100">
        <v>99.3</v>
      </c>
      <c r="AD100">
        <f>100-AC100</f>
        <v>0.70000000000000284</v>
      </c>
      <c r="AE100">
        <v>62</v>
      </c>
      <c r="AF100">
        <v>1</v>
      </c>
    </row>
    <row r="101" spans="6:34" x14ac:dyDescent="0.25">
      <c r="F101">
        <f t="shared" si="11"/>
        <v>22.448979591836736</v>
      </c>
      <c r="G101">
        <v>0</v>
      </c>
      <c r="H101">
        <f t="shared" si="12"/>
        <v>100</v>
      </c>
      <c r="I101">
        <v>275</v>
      </c>
      <c r="J101">
        <v>49</v>
      </c>
      <c r="P101">
        <f t="shared" si="19"/>
        <v>12.8</v>
      </c>
      <c r="Q101">
        <v>70.930000000000007</v>
      </c>
      <c r="R101">
        <f t="shared" si="20"/>
        <v>29.069999999999993</v>
      </c>
      <c r="S101">
        <v>80</v>
      </c>
      <c r="T101">
        <v>8</v>
      </c>
      <c r="Y101" s="11"/>
      <c r="AB101">
        <f t="shared" ref="AB101:AB114" si="21">(AE101/$AG$98)*100</f>
        <v>6.2399999999999993</v>
      </c>
      <c r="AC101">
        <v>97.83</v>
      </c>
      <c r="AD101">
        <f t="shared" ref="AD101:AD114" si="22">100-AC101</f>
        <v>2.1700000000000017</v>
      </c>
      <c r="AE101">
        <v>78</v>
      </c>
      <c r="AF101">
        <v>2</v>
      </c>
    </row>
    <row r="102" spans="6:34" x14ac:dyDescent="0.25">
      <c r="F102">
        <f t="shared" si="11"/>
        <v>22.857142857142858</v>
      </c>
      <c r="G102">
        <v>0</v>
      </c>
      <c r="H102">
        <f t="shared" si="12"/>
        <v>100</v>
      </c>
      <c r="I102">
        <v>280</v>
      </c>
      <c r="J102">
        <v>50</v>
      </c>
      <c r="P102">
        <f t="shared" si="19"/>
        <v>13.600000000000001</v>
      </c>
      <c r="Q102">
        <v>64.28</v>
      </c>
      <c r="R102">
        <f t="shared" si="20"/>
        <v>35.72</v>
      </c>
      <c r="S102">
        <v>85</v>
      </c>
      <c r="T102">
        <v>9</v>
      </c>
      <c r="Y102" s="11"/>
      <c r="AB102">
        <f t="shared" si="21"/>
        <v>7.5200000000000005</v>
      </c>
      <c r="AC102">
        <v>95.4</v>
      </c>
      <c r="AD102">
        <f t="shared" si="22"/>
        <v>4.5999999999999943</v>
      </c>
      <c r="AE102">
        <v>94</v>
      </c>
      <c r="AF102">
        <v>3</v>
      </c>
    </row>
    <row r="103" spans="6:34" x14ac:dyDescent="0.25">
      <c r="P103">
        <f t="shared" si="19"/>
        <v>14.399999999999999</v>
      </c>
      <c r="Q103">
        <v>53.65</v>
      </c>
      <c r="R103">
        <f t="shared" si="20"/>
        <v>46.35</v>
      </c>
      <c r="S103">
        <v>90</v>
      </c>
      <c r="T103">
        <v>10</v>
      </c>
      <c r="Y103" s="11"/>
      <c r="AB103">
        <f t="shared" si="21"/>
        <v>8.7999999999999989</v>
      </c>
      <c r="AC103">
        <v>92.67</v>
      </c>
      <c r="AD103">
        <f t="shared" si="22"/>
        <v>7.3299999999999983</v>
      </c>
      <c r="AE103">
        <v>110</v>
      </c>
      <c r="AF103">
        <v>4</v>
      </c>
    </row>
    <row r="104" spans="6:34" x14ac:dyDescent="0.25">
      <c r="P104">
        <f t="shared" si="19"/>
        <v>15.2</v>
      </c>
      <c r="Q104">
        <v>45.44</v>
      </c>
      <c r="R104">
        <f t="shared" si="20"/>
        <v>54.56</v>
      </c>
      <c r="S104">
        <v>95</v>
      </c>
      <c r="T104">
        <v>11</v>
      </c>
      <c r="Y104" s="11"/>
      <c r="AB104">
        <f t="shared" si="21"/>
        <v>10.08</v>
      </c>
      <c r="AC104">
        <v>87.23</v>
      </c>
      <c r="AD104">
        <f t="shared" si="22"/>
        <v>12.769999999999996</v>
      </c>
      <c r="AE104">
        <v>126</v>
      </c>
      <c r="AF104">
        <v>5</v>
      </c>
    </row>
    <row r="105" spans="6:34" x14ac:dyDescent="0.25">
      <c r="P105">
        <f t="shared" si="19"/>
        <v>16</v>
      </c>
      <c r="Q105">
        <v>34.43</v>
      </c>
      <c r="R105">
        <f t="shared" si="20"/>
        <v>65.569999999999993</v>
      </c>
      <c r="S105">
        <v>100</v>
      </c>
      <c r="T105">
        <v>12</v>
      </c>
      <c r="Y105" s="11"/>
      <c r="AB105">
        <f t="shared" si="21"/>
        <v>11.360000000000001</v>
      </c>
      <c r="AC105">
        <v>78.23</v>
      </c>
      <c r="AD105">
        <f t="shared" si="22"/>
        <v>21.769999999999996</v>
      </c>
      <c r="AE105">
        <v>142</v>
      </c>
      <c r="AF105">
        <v>6</v>
      </c>
    </row>
    <row r="106" spans="6:34" x14ac:dyDescent="0.25">
      <c r="P106">
        <f t="shared" si="19"/>
        <v>16.8</v>
      </c>
      <c r="Q106">
        <v>23.96</v>
      </c>
      <c r="R106">
        <f t="shared" si="20"/>
        <v>76.039999999999992</v>
      </c>
      <c r="S106">
        <v>105</v>
      </c>
      <c r="T106">
        <v>13</v>
      </c>
      <c r="Y106" s="11"/>
      <c r="AB106">
        <f t="shared" si="21"/>
        <v>12.64</v>
      </c>
      <c r="AC106">
        <v>66.930000000000007</v>
      </c>
      <c r="AD106">
        <f t="shared" si="22"/>
        <v>33.069999999999993</v>
      </c>
      <c r="AE106">
        <v>158</v>
      </c>
      <c r="AF106">
        <v>7</v>
      </c>
    </row>
    <row r="107" spans="6:34" ht="21" x14ac:dyDescent="0.25">
      <c r="K107" s="6" t="s">
        <v>5</v>
      </c>
      <c r="L107" s="5" t="s">
        <v>4</v>
      </c>
      <c r="P107">
        <f t="shared" si="19"/>
        <v>17.599999999999998</v>
      </c>
      <c r="Q107">
        <v>15.45</v>
      </c>
      <c r="R107">
        <f>100-Q107</f>
        <v>84.55</v>
      </c>
      <c r="S107">
        <v>110</v>
      </c>
      <c r="T107">
        <v>14</v>
      </c>
      <c r="Y107" s="11"/>
      <c r="AB107">
        <f t="shared" si="21"/>
        <v>13.919999999999998</v>
      </c>
      <c r="AC107">
        <v>49.97</v>
      </c>
      <c r="AD107">
        <f t="shared" si="22"/>
        <v>50.03</v>
      </c>
      <c r="AE107">
        <v>174</v>
      </c>
      <c r="AF107">
        <v>8</v>
      </c>
    </row>
    <row r="108" spans="6:34" ht="15.75" thickBot="1" x14ac:dyDescent="0.3">
      <c r="K108" s="4">
        <v>1600</v>
      </c>
      <c r="L108" s="4" t="s">
        <v>10</v>
      </c>
      <c r="P108">
        <f t="shared" si="19"/>
        <v>18.399999999999999</v>
      </c>
      <c r="Q108">
        <v>9.6</v>
      </c>
      <c r="R108">
        <f t="shared" ref="R108:R112" si="23">100-Q108</f>
        <v>90.4</v>
      </c>
      <c r="S108">
        <v>115</v>
      </c>
      <c r="T108">
        <v>15</v>
      </c>
      <c r="Y108" s="11"/>
      <c r="AB108">
        <f t="shared" si="21"/>
        <v>15.2</v>
      </c>
      <c r="AC108">
        <v>33.729999999999997</v>
      </c>
      <c r="AD108">
        <f t="shared" si="22"/>
        <v>66.27000000000001</v>
      </c>
      <c r="AE108">
        <v>190</v>
      </c>
      <c r="AF108">
        <v>9</v>
      </c>
    </row>
    <row r="109" spans="6:34" ht="22.5" thickTop="1" thickBot="1" x14ac:dyDescent="0.3">
      <c r="F109" s="7" t="s">
        <v>6</v>
      </c>
      <c r="G109" s="1" t="s">
        <v>0</v>
      </c>
      <c r="H109" s="2" t="s">
        <v>1</v>
      </c>
      <c r="I109" s="3" t="s">
        <v>2</v>
      </c>
      <c r="J109" s="8" t="s">
        <v>7</v>
      </c>
      <c r="P109">
        <f t="shared" si="19"/>
        <v>19.2</v>
      </c>
      <c r="Q109">
        <v>4.5999999999999996</v>
      </c>
      <c r="R109">
        <f t="shared" si="23"/>
        <v>95.4</v>
      </c>
      <c r="S109">
        <v>120</v>
      </c>
      <c r="T109">
        <v>16</v>
      </c>
      <c r="Y109" s="11"/>
      <c r="AB109">
        <f t="shared" si="21"/>
        <v>16.48</v>
      </c>
      <c r="AC109">
        <v>19.27</v>
      </c>
      <c r="AD109">
        <f t="shared" si="22"/>
        <v>80.73</v>
      </c>
      <c r="AE109">
        <v>206</v>
      </c>
      <c r="AF109">
        <v>10</v>
      </c>
    </row>
    <row r="110" spans="6:34" ht="15.75" thickTop="1" x14ac:dyDescent="0.25">
      <c r="F110">
        <f>(I110/$K$108)*100</f>
        <v>4.6875</v>
      </c>
      <c r="G110">
        <v>99.33</v>
      </c>
      <c r="H110">
        <f>100-G110</f>
        <v>0.67000000000000171</v>
      </c>
      <c r="I110">
        <v>75</v>
      </c>
      <c r="J110">
        <v>1</v>
      </c>
      <c r="P110">
        <f t="shared" si="19"/>
        <v>20</v>
      </c>
      <c r="Q110">
        <v>1.85</v>
      </c>
      <c r="R110">
        <f t="shared" si="23"/>
        <v>98.15</v>
      </c>
      <c r="S110">
        <v>125</v>
      </c>
      <c r="T110">
        <v>17</v>
      </c>
      <c r="Y110" s="11"/>
      <c r="AB110">
        <f t="shared" si="21"/>
        <v>17.760000000000002</v>
      </c>
      <c r="AC110">
        <v>8.1</v>
      </c>
      <c r="AD110">
        <f t="shared" si="22"/>
        <v>91.9</v>
      </c>
      <c r="AE110">
        <v>222</v>
      </c>
      <c r="AF110">
        <v>11</v>
      </c>
    </row>
    <row r="111" spans="6:34" x14ac:dyDescent="0.25">
      <c r="F111">
        <f t="shared" ref="F111:F159" si="24">(I111/$K$108)*100</f>
        <v>5</v>
      </c>
      <c r="G111">
        <v>99.07</v>
      </c>
      <c r="H111">
        <f t="shared" ref="H111:H159" si="25">100-G111</f>
        <v>0.93000000000000682</v>
      </c>
      <c r="I111">
        <v>80</v>
      </c>
      <c r="J111">
        <v>2</v>
      </c>
      <c r="P111">
        <f t="shared" si="19"/>
        <v>20.8</v>
      </c>
      <c r="Q111">
        <v>0.84</v>
      </c>
      <c r="R111">
        <f t="shared" si="23"/>
        <v>99.16</v>
      </c>
      <c r="S111">
        <v>130</v>
      </c>
      <c r="T111">
        <v>18</v>
      </c>
      <c r="Y111" s="11"/>
      <c r="AB111">
        <f t="shared" si="21"/>
        <v>19.040000000000003</v>
      </c>
      <c r="AC111">
        <v>1.2</v>
      </c>
      <c r="AD111">
        <f t="shared" si="22"/>
        <v>98.8</v>
      </c>
      <c r="AE111">
        <v>238</v>
      </c>
      <c r="AF111">
        <v>12</v>
      </c>
    </row>
    <row r="112" spans="6:34" x14ac:dyDescent="0.25">
      <c r="F112">
        <f t="shared" si="24"/>
        <v>5.3125</v>
      </c>
      <c r="G112">
        <v>98.98</v>
      </c>
      <c r="H112">
        <f t="shared" si="25"/>
        <v>1.019999999999996</v>
      </c>
      <c r="I112">
        <v>85</v>
      </c>
      <c r="J112">
        <v>3</v>
      </c>
      <c r="P112">
        <f t="shared" si="19"/>
        <v>21.6</v>
      </c>
      <c r="Q112">
        <v>0.28000000000000003</v>
      </c>
      <c r="R112">
        <f t="shared" si="23"/>
        <v>99.72</v>
      </c>
      <c r="S112">
        <v>135</v>
      </c>
      <c r="T112">
        <v>19</v>
      </c>
      <c r="Y112" s="11"/>
      <c r="AB112">
        <f t="shared" si="21"/>
        <v>20.32</v>
      </c>
      <c r="AC112">
        <v>0.2</v>
      </c>
      <c r="AD112">
        <f t="shared" si="22"/>
        <v>99.8</v>
      </c>
      <c r="AE112">
        <v>254</v>
      </c>
      <c r="AF112">
        <v>13</v>
      </c>
    </row>
    <row r="113" spans="6:34" x14ac:dyDescent="0.25">
      <c r="F113">
        <f t="shared" si="24"/>
        <v>5.625</v>
      </c>
      <c r="G113">
        <v>98.66</v>
      </c>
      <c r="H113">
        <f t="shared" si="25"/>
        <v>1.3400000000000034</v>
      </c>
      <c r="I113">
        <v>90</v>
      </c>
      <c r="J113">
        <v>4</v>
      </c>
      <c r="P113">
        <f t="shared" si="19"/>
        <v>22.400000000000002</v>
      </c>
      <c r="Q113">
        <v>0.09</v>
      </c>
      <c r="R113">
        <f t="shared" ref="R113:R115" si="26">100-Q113</f>
        <v>99.91</v>
      </c>
      <c r="S113">
        <v>140</v>
      </c>
      <c r="T113">
        <v>20</v>
      </c>
      <c r="Y113" s="11"/>
      <c r="AB113">
        <f t="shared" si="21"/>
        <v>21.6</v>
      </c>
      <c r="AC113">
        <v>0</v>
      </c>
      <c r="AD113">
        <f t="shared" si="22"/>
        <v>100</v>
      </c>
      <c r="AE113">
        <v>270</v>
      </c>
      <c r="AF113">
        <v>14</v>
      </c>
    </row>
    <row r="114" spans="6:34" x14ac:dyDescent="0.25">
      <c r="F114">
        <f t="shared" si="24"/>
        <v>5.9375</v>
      </c>
      <c r="G114">
        <v>98.47</v>
      </c>
      <c r="H114">
        <f t="shared" si="25"/>
        <v>1.5300000000000011</v>
      </c>
      <c r="I114">
        <v>95</v>
      </c>
      <c r="J114">
        <v>5</v>
      </c>
      <c r="P114">
        <f t="shared" si="19"/>
        <v>23.200000000000003</v>
      </c>
      <c r="Q114">
        <v>0.02</v>
      </c>
      <c r="R114">
        <f t="shared" si="26"/>
        <v>99.98</v>
      </c>
      <c r="S114">
        <v>145</v>
      </c>
      <c r="T114">
        <v>21</v>
      </c>
      <c r="Y114" s="11"/>
      <c r="AB114">
        <f t="shared" si="21"/>
        <v>22.88</v>
      </c>
      <c r="AC114">
        <v>0</v>
      </c>
      <c r="AD114">
        <f t="shared" si="22"/>
        <v>100</v>
      </c>
      <c r="AE114">
        <v>286</v>
      </c>
      <c r="AF114">
        <v>15</v>
      </c>
    </row>
    <row r="115" spans="6:34" x14ac:dyDescent="0.25">
      <c r="F115">
        <f t="shared" si="24"/>
        <v>6.25</v>
      </c>
      <c r="G115">
        <v>97.9</v>
      </c>
      <c r="H115">
        <f t="shared" si="25"/>
        <v>2.0999999999999943</v>
      </c>
      <c r="I115">
        <v>100</v>
      </c>
      <c r="J115">
        <v>6</v>
      </c>
      <c r="P115">
        <f t="shared" si="19"/>
        <v>24</v>
      </c>
      <c r="Q115">
        <v>0.01</v>
      </c>
      <c r="R115">
        <f t="shared" si="26"/>
        <v>99.99</v>
      </c>
      <c r="S115">
        <v>150</v>
      </c>
      <c r="T115">
        <v>22</v>
      </c>
      <c r="Y115" s="11"/>
    </row>
    <row r="116" spans="6:34" x14ac:dyDescent="0.25">
      <c r="F116">
        <f t="shared" si="24"/>
        <v>6.5625</v>
      </c>
      <c r="G116">
        <v>97.62</v>
      </c>
      <c r="H116">
        <f t="shared" si="25"/>
        <v>2.3799999999999955</v>
      </c>
      <c r="I116">
        <v>105</v>
      </c>
      <c r="J116">
        <v>7</v>
      </c>
      <c r="Y116" s="11"/>
    </row>
    <row r="117" spans="6:34" x14ac:dyDescent="0.25">
      <c r="F117">
        <f t="shared" si="24"/>
        <v>6.8750000000000009</v>
      </c>
      <c r="G117">
        <v>97.01</v>
      </c>
      <c r="H117">
        <f t="shared" si="25"/>
        <v>2.9899999999999949</v>
      </c>
      <c r="I117">
        <v>110</v>
      </c>
      <c r="J117">
        <v>8</v>
      </c>
      <c r="Y117" s="11"/>
    </row>
    <row r="118" spans="6:34" x14ac:dyDescent="0.25">
      <c r="F118">
        <f t="shared" si="24"/>
        <v>7.1874999999999991</v>
      </c>
      <c r="G118">
        <v>96.68</v>
      </c>
      <c r="H118">
        <f t="shared" si="25"/>
        <v>3.3199999999999932</v>
      </c>
      <c r="I118">
        <v>115</v>
      </c>
      <c r="J118">
        <v>9</v>
      </c>
      <c r="Y118" s="11"/>
    </row>
    <row r="119" spans="6:34" ht="21" x14ac:dyDescent="0.25">
      <c r="F119">
        <f t="shared" si="24"/>
        <v>7.5</v>
      </c>
      <c r="G119">
        <v>95.99</v>
      </c>
      <c r="H119">
        <f t="shared" si="25"/>
        <v>4.0100000000000051</v>
      </c>
      <c r="I119">
        <v>120</v>
      </c>
      <c r="J119">
        <v>10</v>
      </c>
      <c r="Y119" s="11"/>
      <c r="AG119" s="6" t="s">
        <v>5</v>
      </c>
      <c r="AH119" s="5" t="s">
        <v>4</v>
      </c>
    </row>
    <row r="120" spans="6:34" ht="15.75" thickBot="1" x14ac:dyDescent="0.3">
      <c r="F120">
        <f t="shared" si="24"/>
        <v>7.8125</v>
      </c>
      <c r="G120">
        <v>95.22</v>
      </c>
      <c r="H120">
        <f t="shared" si="25"/>
        <v>4.7800000000000011</v>
      </c>
      <c r="I120">
        <v>125</v>
      </c>
      <c r="J120">
        <v>11</v>
      </c>
      <c r="Y120" s="11"/>
      <c r="AG120" s="4">
        <v>1800</v>
      </c>
      <c r="AH120" s="4" t="s">
        <v>21</v>
      </c>
    </row>
    <row r="121" spans="6:34" ht="22.5" thickTop="1" thickBot="1" x14ac:dyDescent="0.3">
      <c r="F121">
        <f t="shared" si="24"/>
        <v>8.125</v>
      </c>
      <c r="G121">
        <v>94.51</v>
      </c>
      <c r="H121">
        <f t="shared" si="25"/>
        <v>5.4899999999999949</v>
      </c>
      <c r="I121">
        <v>130</v>
      </c>
      <c r="J121">
        <v>12</v>
      </c>
      <c r="Y121" s="11"/>
      <c r="AB121" s="7" t="s">
        <v>6</v>
      </c>
      <c r="AC121" s="1" t="s">
        <v>0</v>
      </c>
      <c r="AD121" s="2" t="s">
        <v>1</v>
      </c>
      <c r="AE121" s="3" t="s">
        <v>2</v>
      </c>
      <c r="AF121" s="8" t="s">
        <v>7</v>
      </c>
    </row>
    <row r="122" spans="6:34" ht="15.75" thickTop="1" x14ac:dyDescent="0.25">
      <c r="F122">
        <f t="shared" si="24"/>
        <v>8.4375</v>
      </c>
      <c r="G122">
        <v>93.21</v>
      </c>
      <c r="H122">
        <f t="shared" si="25"/>
        <v>6.7900000000000063</v>
      </c>
      <c r="I122">
        <v>135</v>
      </c>
      <c r="J122">
        <v>13</v>
      </c>
      <c r="Y122" s="11"/>
      <c r="AB122">
        <f>(AE122/$AG$120)*100</f>
        <v>6.666666666666667</v>
      </c>
      <c r="AC122">
        <v>97.3</v>
      </c>
      <c r="AD122">
        <f>100-AC122</f>
        <v>2.7000000000000028</v>
      </c>
      <c r="AE122">
        <v>120</v>
      </c>
      <c r="AF122">
        <v>1</v>
      </c>
    </row>
    <row r="123" spans="6:34" x14ac:dyDescent="0.25">
      <c r="F123">
        <f t="shared" si="24"/>
        <v>8.75</v>
      </c>
      <c r="G123">
        <v>92.74</v>
      </c>
      <c r="H123">
        <f t="shared" si="25"/>
        <v>7.2600000000000051</v>
      </c>
      <c r="I123">
        <v>140</v>
      </c>
      <c r="J123">
        <v>14</v>
      </c>
      <c r="Y123" s="11"/>
      <c r="AB123">
        <f t="shared" ref="AB123:AB136" si="27">(AE123/$AG$120)*100</f>
        <v>7.9444444444444446</v>
      </c>
      <c r="AC123">
        <v>94.4</v>
      </c>
      <c r="AD123">
        <f t="shared" ref="AD123:AD136" si="28">100-AC123</f>
        <v>5.5999999999999943</v>
      </c>
      <c r="AE123">
        <v>143</v>
      </c>
      <c r="AF123">
        <v>2</v>
      </c>
    </row>
    <row r="124" spans="6:34" x14ac:dyDescent="0.25">
      <c r="F124">
        <f t="shared" si="24"/>
        <v>9.0625</v>
      </c>
      <c r="G124">
        <v>90.83</v>
      </c>
      <c r="H124">
        <f t="shared" si="25"/>
        <v>9.1700000000000017</v>
      </c>
      <c r="I124">
        <v>145</v>
      </c>
      <c r="J124">
        <v>15</v>
      </c>
      <c r="Y124" s="11"/>
      <c r="AB124">
        <f t="shared" si="27"/>
        <v>9.2222222222222214</v>
      </c>
      <c r="AC124">
        <v>90.37</v>
      </c>
      <c r="AD124">
        <f t="shared" si="28"/>
        <v>9.6299999999999955</v>
      </c>
      <c r="AE124">
        <v>166</v>
      </c>
      <c r="AF124">
        <v>3</v>
      </c>
    </row>
    <row r="125" spans="6:34" x14ac:dyDescent="0.25">
      <c r="F125">
        <f t="shared" si="24"/>
        <v>9.375</v>
      </c>
      <c r="G125">
        <v>89.85</v>
      </c>
      <c r="H125">
        <f t="shared" si="25"/>
        <v>10.150000000000006</v>
      </c>
      <c r="I125">
        <v>150</v>
      </c>
      <c r="J125">
        <v>16</v>
      </c>
      <c r="Y125" s="11"/>
      <c r="AB125">
        <f t="shared" si="27"/>
        <v>10.5</v>
      </c>
      <c r="AC125">
        <v>81.93</v>
      </c>
      <c r="AD125">
        <f t="shared" si="28"/>
        <v>18.069999999999993</v>
      </c>
      <c r="AE125">
        <v>189</v>
      </c>
      <c r="AF125">
        <v>4</v>
      </c>
    </row>
    <row r="126" spans="6:34" x14ac:dyDescent="0.25">
      <c r="F126">
        <f t="shared" si="24"/>
        <v>9.6875</v>
      </c>
      <c r="G126">
        <v>88.28</v>
      </c>
      <c r="H126">
        <f t="shared" si="25"/>
        <v>11.719999999999999</v>
      </c>
      <c r="I126">
        <v>155</v>
      </c>
      <c r="J126">
        <v>17</v>
      </c>
      <c r="Y126" s="11"/>
      <c r="AB126">
        <f t="shared" si="27"/>
        <v>11.777777777777777</v>
      </c>
      <c r="AC126">
        <v>74.87</v>
      </c>
      <c r="AD126">
        <f t="shared" si="28"/>
        <v>25.129999999999995</v>
      </c>
      <c r="AE126">
        <v>212</v>
      </c>
      <c r="AF126">
        <v>5</v>
      </c>
    </row>
    <row r="127" spans="6:34" x14ac:dyDescent="0.25">
      <c r="F127">
        <f t="shared" si="24"/>
        <v>10</v>
      </c>
      <c r="G127">
        <v>86.61</v>
      </c>
      <c r="H127">
        <f t="shared" si="25"/>
        <v>13.39</v>
      </c>
      <c r="I127">
        <v>160</v>
      </c>
      <c r="J127">
        <v>18</v>
      </c>
      <c r="Y127" s="11"/>
      <c r="AB127">
        <f t="shared" si="27"/>
        <v>13.055555555555557</v>
      </c>
      <c r="AC127">
        <v>64.53</v>
      </c>
      <c r="AD127">
        <f t="shared" si="28"/>
        <v>35.47</v>
      </c>
      <c r="AE127">
        <v>235</v>
      </c>
      <c r="AF127">
        <v>6</v>
      </c>
    </row>
    <row r="128" spans="6:34" x14ac:dyDescent="0.25">
      <c r="F128">
        <f t="shared" si="24"/>
        <v>10.3125</v>
      </c>
      <c r="G128">
        <v>85.06</v>
      </c>
      <c r="H128">
        <f t="shared" si="25"/>
        <v>14.939999999999998</v>
      </c>
      <c r="I128">
        <v>165</v>
      </c>
      <c r="J128">
        <v>19</v>
      </c>
      <c r="Y128" s="11"/>
      <c r="AB128">
        <f t="shared" si="27"/>
        <v>14.333333333333334</v>
      </c>
      <c r="AC128">
        <v>47.27</v>
      </c>
      <c r="AD128">
        <f t="shared" si="28"/>
        <v>52.73</v>
      </c>
      <c r="AE128">
        <v>258</v>
      </c>
      <c r="AF128">
        <v>7</v>
      </c>
    </row>
    <row r="129" spans="6:34" x14ac:dyDescent="0.25">
      <c r="F129">
        <f t="shared" si="24"/>
        <v>10.625</v>
      </c>
      <c r="G129">
        <v>83.08</v>
      </c>
      <c r="H129">
        <f t="shared" si="25"/>
        <v>16.920000000000002</v>
      </c>
      <c r="I129">
        <v>170</v>
      </c>
      <c r="J129">
        <v>20</v>
      </c>
      <c r="Y129" s="11"/>
      <c r="AB129">
        <f t="shared" si="27"/>
        <v>15.611111111111112</v>
      </c>
      <c r="AC129">
        <v>27.6</v>
      </c>
      <c r="AD129">
        <f t="shared" si="28"/>
        <v>72.400000000000006</v>
      </c>
      <c r="AE129">
        <v>281</v>
      </c>
      <c r="AF129">
        <v>8</v>
      </c>
    </row>
    <row r="130" spans="6:34" x14ac:dyDescent="0.25">
      <c r="F130">
        <f t="shared" si="24"/>
        <v>10.9375</v>
      </c>
      <c r="G130">
        <v>81.069999999999993</v>
      </c>
      <c r="H130">
        <f t="shared" si="25"/>
        <v>18.930000000000007</v>
      </c>
      <c r="I130">
        <v>175</v>
      </c>
      <c r="J130">
        <v>21</v>
      </c>
      <c r="Y130" s="11"/>
      <c r="AB130">
        <f t="shared" si="27"/>
        <v>16.888888888888889</v>
      </c>
      <c r="AC130">
        <v>12.53</v>
      </c>
      <c r="AD130">
        <f t="shared" si="28"/>
        <v>87.47</v>
      </c>
      <c r="AE130">
        <v>304</v>
      </c>
      <c r="AF130">
        <v>9</v>
      </c>
    </row>
    <row r="131" spans="6:34" x14ac:dyDescent="0.25">
      <c r="F131">
        <f t="shared" si="24"/>
        <v>11.25</v>
      </c>
      <c r="G131">
        <v>78.319999999999993</v>
      </c>
      <c r="H131">
        <f t="shared" si="25"/>
        <v>21.680000000000007</v>
      </c>
      <c r="I131">
        <v>180</v>
      </c>
      <c r="J131">
        <v>22</v>
      </c>
      <c r="Y131" s="11"/>
      <c r="AB131">
        <f t="shared" si="27"/>
        <v>18.166666666666668</v>
      </c>
      <c r="AC131">
        <v>3.03</v>
      </c>
      <c r="AD131">
        <f t="shared" si="28"/>
        <v>96.97</v>
      </c>
      <c r="AE131">
        <v>327</v>
      </c>
      <c r="AF131">
        <v>10</v>
      </c>
    </row>
    <row r="132" spans="6:34" x14ac:dyDescent="0.25">
      <c r="F132">
        <f t="shared" si="24"/>
        <v>11.5625</v>
      </c>
      <c r="G132">
        <v>76.09</v>
      </c>
      <c r="H132">
        <f t="shared" si="25"/>
        <v>23.909999999999997</v>
      </c>
      <c r="I132">
        <v>185</v>
      </c>
      <c r="J132">
        <v>23</v>
      </c>
      <c r="Y132" s="11"/>
      <c r="AB132">
        <f t="shared" si="27"/>
        <v>19.444444444444446</v>
      </c>
      <c r="AC132">
        <v>0.17</v>
      </c>
      <c r="AD132">
        <f t="shared" si="28"/>
        <v>99.83</v>
      </c>
      <c r="AE132">
        <v>350</v>
      </c>
      <c r="AF132">
        <v>11</v>
      </c>
    </row>
    <row r="133" spans="6:34" x14ac:dyDescent="0.25">
      <c r="F133">
        <f t="shared" si="24"/>
        <v>11.875</v>
      </c>
      <c r="G133">
        <v>73.180000000000007</v>
      </c>
      <c r="H133">
        <f t="shared" si="25"/>
        <v>26.819999999999993</v>
      </c>
      <c r="I133">
        <v>190</v>
      </c>
      <c r="J133">
        <v>24</v>
      </c>
      <c r="Y133" s="11"/>
      <c r="AB133">
        <f t="shared" si="27"/>
        <v>20.722222222222221</v>
      </c>
      <c r="AC133">
        <v>0</v>
      </c>
      <c r="AD133">
        <f t="shared" si="28"/>
        <v>100</v>
      </c>
      <c r="AE133">
        <v>373</v>
      </c>
      <c r="AF133">
        <v>12</v>
      </c>
    </row>
    <row r="134" spans="6:34" x14ac:dyDescent="0.25">
      <c r="F134">
        <f t="shared" si="24"/>
        <v>12.1875</v>
      </c>
      <c r="G134">
        <v>70.42</v>
      </c>
      <c r="H134">
        <f t="shared" si="25"/>
        <v>29.58</v>
      </c>
      <c r="I134">
        <v>195</v>
      </c>
      <c r="J134">
        <v>25</v>
      </c>
      <c r="Y134" s="11"/>
      <c r="AB134">
        <f t="shared" si="27"/>
        <v>22</v>
      </c>
      <c r="AC134">
        <v>0</v>
      </c>
      <c r="AD134">
        <f t="shared" si="28"/>
        <v>100</v>
      </c>
      <c r="AE134">
        <v>396</v>
      </c>
      <c r="AF134">
        <v>13</v>
      </c>
    </row>
    <row r="135" spans="6:34" x14ac:dyDescent="0.25">
      <c r="F135">
        <f t="shared" si="24"/>
        <v>12.5</v>
      </c>
      <c r="G135">
        <v>71.94</v>
      </c>
      <c r="H135">
        <f t="shared" si="25"/>
        <v>28.060000000000002</v>
      </c>
      <c r="I135">
        <v>200</v>
      </c>
      <c r="J135">
        <v>26</v>
      </c>
      <c r="Y135" s="11"/>
      <c r="AB135">
        <f t="shared" si="27"/>
        <v>23.277777777777779</v>
      </c>
      <c r="AC135">
        <v>0</v>
      </c>
      <c r="AD135">
        <f t="shared" si="28"/>
        <v>100</v>
      </c>
      <c r="AE135">
        <v>419</v>
      </c>
      <c r="AF135">
        <v>14</v>
      </c>
    </row>
    <row r="136" spans="6:34" x14ac:dyDescent="0.25">
      <c r="F136">
        <f t="shared" si="24"/>
        <v>12.812499999999998</v>
      </c>
      <c r="G136">
        <v>69.67</v>
      </c>
      <c r="H136">
        <f t="shared" si="25"/>
        <v>30.33</v>
      </c>
      <c r="I136">
        <v>205</v>
      </c>
      <c r="J136">
        <v>27</v>
      </c>
      <c r="Y136" s="11"/>
      <c r="AB136">
        <f t="shared" si="27"/>
        <v>24.555555555555557</v>
      </c>
      <c r="AC136">
        <v>0</v>
      </c>
      <c r="AD136">
        <f t="shared" si="28"/>
        <v>100</v>
      </c>
      <c r="AE136">
        <v>442</v>
      </c>
      <c r="AF136">
        <v>15</v>
      </c>
    </row>
    <row r="137" spans="6:34" x14ac:dyDescent="0.25">
      <c r="F137">
        <f t="shared" si="24"/>
        <v>13.125</v>
      </c>
      <c r="G137">
        <v>62.97</v>
      </c>
      <c r="H137">
        <f t="shared" si="25"/>
        <v>37.03</v>
      </c>
      <c r="I137">
        <v>210</v>
      </c>
      <c r="J137">
        <v>28</v>
      </c>
      <c r="Y137" s="11"/>
    </row>
    <row r="138" spans="6:34" x14ac:dyDescent="0.25">
      <c r="F138">
        <f t="shared" si="24"/>
        <v>13.4375</v>
      </c>
      <c r="G138">
        <v>62.73</v>
      </c>
      <c r="H138">
        <f t="shared" si="25"/>
        <v>37.270000000000003</v>
      </c>
      <c r="I138">
        <v>215</v>
      </c>
      <c r="J138">
        <v>29</v>
      </c>
      <c r="Y138" s="11"/>
    </row>
    <row r="139" spans="6:34" x14ac:dyDescent="0.25">
      <c r="F139">
        <f t="shared" si="24"/>
        <v>13.750000000000002</v>
      </c>
      <c r="G139">
        <v>59.13</v>
      </c>
      <c r="H139">
        <f t="shared" si="25"/>
        <v>40.869999999999997</v>
      </c>
      <c r="I139">
        <v>220</v>
      </c>
      <c r="J139">
        <v>30</v>
      </c>
      <c r="Y139" s="11"/>
    </row>
    <row r="140" spans="6:34" x14ac:dyDescent="0.25">
      <c r="F140">
        <f t="shared" si="24"/>
        <v>14.0625</v>
      </c>
      <c r="G140">
        <v>53.4</v>
      </c>
      <c r="H140">
        <f t="shared" si="25"/>
        <v>46.6</v>
      </c>
      <c r="I140">
        <v>225</v>
      </c>
      <c r="J140">
        <v>31</v>
      </c>
      <c r="Y140" s="11"/>
    </row>
    <row r="141" spans="6:34" ht="21" x14ac:dyDescent="0.25">
      <c r="F141">
        <f t="shared" si="24"/>
        <v>14.374999999999998</v>
      </c>
      <c r="G141">
        <v>50.57</v>
      </c>
      <c r="H141">
        <f t="shared" si="25"/>
        <v>49.43</v>
      </c>
      <c r="I141">
        <v>230</v>
      </c>
      <c r="J141">
        <v>32</v>
      </c>
      <c r="Y141" s="11"/>
      <c r="AG141" s="6" t="s">
        <v>5</v>
      </c>
      <c r="AH141" s="5" t="s">
        <v>4</v>
      </c>
    </row>
    <row r="142" spans="6:34" ht="15.75" thickBot="1" x14ac:dyDescent="0.3">
      <c r="F142">
        <f t="shared" si="24"/>
        <v>14.6875</v>
      </c>
      <c r="G142">
        <v>44.17</v>
      </c>
      <c r="H142">
        <f t="shared" si="25"/>
        <v>55.83</v>
      </c>
      <c r="I142">
        <v>235</v>
      </c>
      <c r="J142">
        <v>33</v>
      </c>
      <c r="Y142" s="11"/>
      <c r="AG142" s="4">
        <v>2450</v>
      </c>
      <c r="AH142" s="4" t="s">
        <v>22</v>
      </c>
    </row>
    <row r="143" spans="6:34" ht="22.5" thickTop="1" thickBot="1" x14ac:dyDescent="0.3">
      <c r="F143">
        <f t="shared" si="24"/>
        <v>15</v>
      </c>
      <c r="G143">
        <v>40.57</v>
      </c>
      <c r="H143">
        <f t="shared" si="25"/>
        <v>59.43</v>
      </c>
      <c r="I143">
        <v>240</v>
      </c>
      <c r="J143">
        <v>34</v>
      </c>
      <c r="Y143" s="11"/>
      <c r="AB143" s="7" t="s">
        <v>6</v>
      </c>
      <c r="AC143" s="1" t="s">
        <v>0</v>
      </c>
      <c r="AD143" s="2" t="s">
        <v>1</v>
      </c>
      <c r="AE143" s="3" t="s">
        <v>2</v>
      </c>
      <c r="AF143" s="8" t="s">
        <v>7</v>
      </c>
    </row>
    <row r="144" spans="6:34" ht="15.75" thickTop="1" x14ac:dyDescent="0.25">
      <c r="F144">
        <f t="shared" si="24"/>
        <v>15.312500000000002</v>
      </c>
      <c r="G144">
        <v>35.43</v>
      </c>
      <c r="H144">
        <f t="shared" si="25"/>
        <v>64.569999999999993</v>
      </c>
      <c r="I144">
        <v>245</v>
      </c>
      <c r="J144">
        <v>35</v>
      </c>
      <c r="Y144" s="11"/>
      <c r="AB144">
        <f>(AE144/$AG$142)*100</f>
        <v>8.1632653061224492</v>
      </c>
      <c r="AC144">
        <v>95.47</v>
      </c>
      <c r="AD144">
        <f>100-AC144</f>
        <v>4.5300000000000011</v>
      </c>
      <c r="AE144">
        <v>200</v>
      </c>
      <c r="AF144">
        <v>1</v>
      </c>
    </row>
    <row r="145" spans="6:32" x14ac:dyDescent="0.25">
      <c r="F145">
        <f t="shared" si="24"/>
        <v>15.625</v>
      </c>
      <c r="G145">
        <v>31.2</v>
      </c>
      <c r="H145">
        <f t="shared" si="25"/>
        <v>68.8</v>
      </c>
      <c r="I145">
        <v>250</v>
      </c>
      <c r="J145">
        <v>36</v>
      </c>
      <c r="Y145" s="11"/>
      <c r="AB145">
        <f t="shared" ref="AB145:AB158" si="29">(AE145/$AG$142)*100</f>
        <v>9.387755102040817</v>
      </c>
      <c r="AC145">
        <v>90.67</v>
      </c>
      <c r="AD145">
        <f t="shared" ref="AD145:AD158" si="30">100-AC145</f>
        <v>9.3299999999999983</v>
      </c>
      <c r="AE145">
        <v>230</v>
      </c>
      <c r="AF145">
        <v>2</v>
      </c>
    </row>
    <row r="146" spans="6:32" x14ac:dyDescent="0.25">
      <c r="F146">
        <f t="shared" si="24"/>
        <v>15.937499999999998</v>
      </c>
      <c r="G146">
        <v>26.43</v>
      </c>
      <c r="H146">
        <f t="shared" si="25"/>
        <v>73.569999999999993</v>
      </c>
      <c r="I146">
        <v>255</v>
      </c>
      <c r="J146">
        <v>37</v>
      </c>
      <c r="Y146" s="11"/>
      <c r="AB146">
        <f t="shared" si="29"/>
        <v>10.612244897959183</v>
      </c>
      <c r="AC146">
        <v>83.87</v>
      </c>
      <c r="AD146">
        <f t="shared" si="30"/>
        <v>16.129999999999995</v>
      </c>
      <c r="AE146">
        <v>260</v>
      </c>
      <c r="AF146">
        <v>3</v>
      </c>
    </row>
    <row r="147" spans="6:32" x14ac:dyDescent="0.25">
      <c r="F147">
        <f t="shared" si="24"/>
        <v>16.25</v>
      </c>
      <c r="G147">
        <v>22.43</v>
      </c>
      <c r="H147">
        <f t="shared" si="25"/>
        <v>77.569999999999993</v>
      </c>
      <c r="I147">
        <v>260</v>
      </c>
      <c r="J147">
        <v>38</v>
      </c>
      <c r="Y147" s="11"/>
      <c r="AB147">
        <f t="shared" si="29"/>
        <v>11.836734693877551</v>
      </c>
      <c r="AC147">
        <v>73.97</v>
      </c>
      <c r="AD147">
        <f t="shared" si="30"/>
        <v>26.03</v>
      </c>
      <c r="AE147">
        <v>290</v>
      </c>
      <c r="AF147">
        <v>4</v>
      </c>
    </row>
    <row r="148" spans="6:32" x14ac:dyDescent="0.25">
      <c r="F148">
        <f t="shared" si="24"/>
        <v>16.5625</v>
      </c>
      <c r="G148">
        <v>17.829999999999998</v>
      </c>
      <c r="H148">
        <f t="shared" si="25"/>
        <v>82.17</v>
      </c>
      <c r="I148">
        <v>265</v>
      </c>
      <c r="J148">
        <v>39</v>
      </c>
      <c r="Y148" s="11"/>
      <c r="AB148">
        <f t="shared" si="29"/>
        <v>13.061224489795919</v>
      </c>
      <c r="AC148">
        <v>59.43</v>
      </c>
      <c r="AD148">
        <f t="shared" si="30"/>
        <v>40.57</v>
      </c>
      <c r="AE148">
        <v>320</v>
      </c>
      <c r="AF148">
        <v>5</v>
      </c>
    </row>
    <row r="149" spans="6:32" x14ac:dyDescent="0.25">
      <c r="F149">
        <f t="shared" si="24"/>
        <v>16.875</v>
      </c>
      <c r="G149">
        <v>15.33</v>
      </c>
      <c r="H149">
        <f t="shared" si="25"/>
        <v>84.67</v>
      </c>
      <c r="I149">
        <v>270</v>
      </c>
      <c r="J149">
        <v>40</v>
      </c>
      <c r="Y149" s="11"/>
      <c r="AB149">
        <f t="shared" si="29"/>
        <v>14.285714285714285</v>
      </c>
      <c r="AC149">
        <v>41.97</v>
      </c>
      <c r="AD149">
        <f t="shared" si="30"/>
        <v>58.03</v>
      </c>
      <c r="AE149">
        <v>350</v>
      </c>
      <c r="AF149">
        <v>6</v>
      </c>
    </row>
    <row r="150" spans="6:32" x14ac:dyDescent="0.25">
      <c r="F150">
        <f t="shared" si="24"/>
        <v>17.1875</v>
      </c>
      <c r="G150">
        <v>12.03</v>
      </c>
      <c r="H150">
        <f t="shared" si="25"/>
        <v>87.97</v>
      </c>
      <c r="I150">
        <v>275</v>
      </c>
      <c r="J150">
        <v>41</v>
      </c>
      <c r="Y150" s="11"/>
      <c r="AB150">
        <f t="shared" si="29"/>
        <v>15.510204081632653</v>
      </c>
      <c r="AC150">
        <v>24.67</v>
      </c>
      <c r="AD150">
        <f t="shared" si="30"/>
        <v>75.33</v>
      </c>
      <c r="AE150">
        <v>380</v>
      </c>
      <c r="AF150">
        <v>7</v>
      </c>
    </row>
    <row r="151" spans="6:32" x14ac:dyDescent="0.25">
      <c r="F151">
        <f t="shared" si="24"/>
        <v>17.5</v>
      </c>
      <c r="G151">
        <v>8.27</v>
      </c>
      <c r="H151">
        <f t="shared" si="25"/>
        <v>91.73</v>
      </c>
      <c r="I151">
        <v>280</v>
      </c>
      <c r="J151">
        <v>42</v>
      </c>
      <c r="Y151" s="11"/>
      <c r="AB151">
        <f t="shared" si="29"/>
        <v>16.73469387755102</v>
      </c>
      <c r="AC151">
        <v>11.77</v>
      </c>
      <c r="AD151">
        <f t="shared" si="30"/>
        <v>88.23</v>
      </c>
      <c r="AE151">
        <v>410</v>
      </c>
      <c r="AF151">
        <v>8</v>
      </c>
    </row>
    <row r="152" spans="6:32" x14ac:dyDescent="0.25">
      <c r="F152">
        <f t="shared" si="24"/>
        <v>17.8125</v>
      </c>
      <c r="G152">
        <v>6.4</v>
      </c>
      <c r="H152">
        <f t="shared" si="25"/>
        <v>93.6</v>
      </c>
      <c r="I152">
        <v>285</v>
      </c>
      <c r="J152">
        <v>43</v>
      </c>
      <c r="Y152" s="11"/>
      <c r="AB152">
        <f t="shared" si="29"/>
        <v>17.959183673469386</v>
      </c>
      <c r="AC152">
        <v>2.8</v>
      </c>
      <c r="AD152">
        <f t="shared" si="30"/>
        <v>97.2</v>
      </c>
      <c r="AE152">
        <v>440</v>
      </c>
      <c r="AF152">
        <v>9</v>
      </c>
    </row>
    <row r="153" spans="6:32" x14ac:dyDescent="0.25">
      <c r="F153">
        <f t="shared" si="24"/>
        <v>18.125</v>
      </c>
      <c r="G153">
        <v>4.7699999999999996</v>
      </c>
      <c r="H153">
        <f t="shared" si="25"/>
        <v>95.23</v>
      </c>
      <c r="I153">
        <v>290</v>
      </c>
      <c r="J153">
        <v>44</v>
      </c>
      <c r="Y153" s="11"/>
      <c r="AB153">
        <f t="shared" si="29"/>
        <v>19.183673469387756</v>
      </c>
      <c r="AC153">
        <v>0.3</v>
      </c>
      <c r="AD153">
        <f t="shared" si="30"/>
        <v>99.7</v>
      </c>
      <c r="AE153">
        <v>470</v>
      </c>
      <c r="AF153">
        <v>10</v>
      </c>
    </row>
    <row r="154" spans="6:32" x14ac:dyDescent="0.25">
      <c r="F154">
        <f t="shared" si="24"/>
        <v>18.4375</v>
      </c>
      <c r="G154">
        <v>3.43</v>
      </c>
      <c r="H154">
        <f t="shared" si="25"/>
        <v>96.57</v>
      </c>
      <c r="I154">
        <v>295</v>
      </c>
      <c r="J154">
        <v>45</v>
      </c>
      <c r="Y154" s="11"/>
      <c r="AB154">
        <f t="shared" si="29"/>
        <v>20.408163265306122</v>
      </c>
      <c r="AC154">
        <v>0.03</v>
      </c>
      <c r="AD154">
        <f t="shared" si="30"/>
        <v>99.97</v>
      </c>
      <c r="AE154">
        <v>500</v>
      </c>
      <c r="AF154">
        <v>11</v>
      </c>
    </row>
    <row r="155" spans="6:32" x14ac:dyDescent="0.25">
      <c r="F155">
        <f t="shared" si="24"/>
        <v>18.75</v>
      </c>
      <c r="G155">
        <v>1.8</v>
      </c>
      <c r="H155">
        <f t="shared" si="25"/>
        <v>98.2</v>
      </c>
      <c r="I155">
        <v>300</v>
      </c>
      <c r="J155">
        <v>46</v>
      </c>
      <c r="Y155" s="11"/>
      <c r="AB155">
        <f t="shared" si="29"/>
        <v>21.632653061224492</v>
      </c>
      <c r="AC155">
        <v>0</v>
      </c>
      <c r="AD155">
        <f t="shared" si="30"/>
        <v>100</v>
      </c>
      <c r="AE155">
        <v>530</v>
      </c>
      <c r="AF155">
        <v>12</v>
      </c>
    </row>
    <row r="156" spans="6:32" x14ac:dyDescent="0.25">
      <c r="F156">
        <f t="shared" si="24"/>
        <v>19.0625</v>
      </c>
      <c r="G156">
        <v>1.57</v>
      </c>
      <c r="H156">
        <f t="shared" si="25"/>
        <v>98.43</v>
      </c>
      <c r="I156">
        <v>305</v>
      </c>
      <c r="J156">
        <v>47</v>
      </c>
      <c r="Y156" s="11"/>
      <c r="AB156">
        <f t="shared" si="29"/>
        <v>22.857142857142858</v>
      </c>
      <c r="AC156">
        <v>0</v>
      </c>
      <c r="AD156">
        <f t="shared" si="30"/>
        <v>100</v>
      </c>
      <c r="AE156">
        <v>560</v>
      </c>
      <c r="AF156">
        <v>13</v>
      </c>
    </row>
    <row r="157" spans="6:32" x14ac:dyDescent="0.25">
      <c r="F157">
        <f t="shared" si="24"/>
        <v>19.375</v>
      </c>
      <c r="G157">
        <v>0.56999999999999995</v>
      </c>
      <c r="H157">
        <f t="shared" si="25"/>
        <v>99.43</v>
      </c>
      <c r="I157">
        <v>310</v>
      </c>
      <c r="J157">
        <v>48</v>
      </c>
      <c r="Y157" s="11"/>
      <c r="AB157">
        <f t="shared" si="29"/>
        <v>24.081632653061224</v>
      </c>
      <c r="AC157">
        <v>0</v>
      </c>
      <c r="AD157">
        <f t="shared" si="30"/>
        <v>100</v>
      </c>
      <c r="AE157">
        <v>590</v>
      </c>
      <c r="AF157">
        <v>14</v>
      </c>
    </row>
    <row r="158" spans="6:32" x14ac:dyDescent="0.25">
      <c r="F158">
        <f t="shared" si="24"/>
        <v>19.6875</v>
      </c>
      <c r="G158">
        <v>0.43</v>
      </c>
      <c r="H158">
        <f t="shared" si="25"/>
        <v>99.57</v>
      </c>
      <c r="I158">
        <v>315</v>
      </c>
      <c r="J158">
        <v>49</v>
      </c>
      <c r="Y158" s="11"/>
      <c r="AB158">
        <f t="shared" si="29"/>
        <v>25.30612244897959</v>
      </c>
      <c r="AC158">
        <v>0</v>
      </c>
      <c r="AD158">
        <f t="shared" si="30"/>
        <v>100</v>
      </c>
      <c r="AE158">
        <v>620</v>
      </c>
      <c r="AF158">
        <v>15</v>
      </c>
    </row>
    <row r="159" spans="6:32" x14ac:dyDescent="0.25">
      <c r="F159">
        <f t="shared" si="24"/>
        <v>20</v>
      </c>
      <c r="G159">
        <v>0.1</v>
      </c>
      <c r="H159">
        <f t="shared" si="25"/>
        <v>99.9</v>
      </c>
      <c r="I159">
        <v>320</v>
      </c>
      <c r="J159">
        <v>50</v>
      </c>
      <c r="Y159" s="11"/>
    </row>
    <row r="160" spans="6:32" x14ac:dyDescent="0.25">
      <c r="Y160" s="11"/>
    </row>
    <row r="161" spans="6:34" x14ac:dyDescent="0.25">
      <c r="Y161" s="11"/>
    </row>
    <row r="162" spans="6:34" x14ac:dyDescent="0.25">
      <c r="Y162" s="11"/>
    </row>
    <row r="163" spans="6:34" ht="21" x14ac:dyDescent="0.25">
      <c r="Y163" s="11"/>
      <c r="AG163" s="6" t="s">
        <v>5</v>
      </c>
      <c r="AH163" s="5" t="s">
        <v>4</v>
      </c>
    </row>
    <row r="164" spans="6:34" ht="21.75" thickBot="1" x14ac:dyDescent="0.3">
      <c r="K164" s="6" t="s">
        <v>5</v>
      </c>
      <c r="L164" s="5" t="s">
        <v>4</v>
      </c>
      <c r="Y164" s="11"/>
      <c r="AG164" s="4">
        <v>3200</v>
      </c>
      <c r="AH164" s="4" t="s">
        <v>23</v>
      </c>
    </row>
    <row r="165" spans="6:34" ht="22.5" thickTop="1" thickBot="1" x14ac:dyDescent="0.3">
      <c r="K165" s="4">
        <v>2025</v>
      </c>
      <c r="L165" s="4" t="s">
        <v>15</v>
      </c>
      <c r="Y165" s="11"/>
      <c r="AB165" s="7" t="s">
        <v>6</v>
      </c>
      <c r="AC165" s="1" t="s">
        <v>0</v>
      </c>
      <c r="AD165" s="2" t="s">
        <v>1</v>
      </c>
      <c r="AE165" s="3" t="s">
        <v>2</v>
      </c>
      <c r="AF165" s="8" t="s">
        <v>7</v>
      </c>
    </row>
    <row r="166" spans="6:34" ht="22.5" thickTop="1" thickBot="1" x14ac:dyDescent="0.3">
      <c r="F166" s="7" t="s">
        <v>6</v>
      </c>
      <c r="G166" s="1" t="s">
        <v>0</v>
      </c>
      <c r="H166" s="2" t="s">
        <v>1</v>
      </c>
      <c r="I166" s="3" t="s">
        <v>2</v>
      </c>
      <c r="J166" s="8" t="s">
        <v>7</v>
      </c>
      <c r="Y166" s="11"/>
      <c r="AB166">
        <f>(AE166/$AG$164)*100</f>
        <v>8.75</v>
      </c>
      <c r="AC166">
        <v>93.13</v>
      </c>
      <c r="AD166">
        <f>100-AC166</f>
        <v>6.8700000000000045</v>
      </c>
      <c r="AE166">
        <v>280</v>
      </c>
      <c r="AF166">
        <v>1</v>
      </c>
    </row>
    <row r="167" spans="6:34" ht="15.75" thickTop="1" x14ac:dyDescent="0.25">
      <c r="F167">
        <f t="shared" ref="F167:F207" si="31">(I167/$K$165)*100</f>
        <v>5.9259259259259265</v>
      </c>
      <c r="G167">
        <v>98.47</v>
      </c>
      <c r="H167">
        <f t="shared" ref="H167:H207" si="32">100-G167</f>
        <v>1.5300000000000011</v>
      </c>
      <c r="I167">
        <v>120</v>
      </c>
      <c r="J167">
        <v>1</v>
      </c>
      <c r="Y167" s="11"/>
      <c r="AB167">
        <f t="shared" ref="AB167:AB180" si="33">(AE167/$AG$164)*100</f>
        <v>10.0625</v>
      </c>
      <c r="AC167">
        <v>87.4</v>
      </c>
      <c r="AD167">
        <f t="shared" ref="AD167:AD180" si="34">100-AC167</f>
        <v>12.599999999999994</v>
      </c>
      <c r="AE167">
        <v>322</v>
      </c>
      <c r="AF167">
        <v>2</v>
      </c>
    </row>
    <row r="168" spans="6:34" x14ac:dyDescent="0.25">
      <c r="F168">
        <f t="shared" si="31"/>
        <v>6.1728395061728394</v>
      </c>
      <c r="G168">
        <v>97.87</v>
      </c>
      <c r="H168">
        <f t="shared" si="32"/>
        <v>2.1299999999999955</v>
      </c>
      <c r="I168">
        <v>125</v>
      </c>
      <c r="J168">
        <v>2</v>
      </c>
      <c r="Y168" s="11"/>
      <c r="AB168">
        <f t="shared" si="33"/>
        <v>11.375</v>
      </c>
      <c r="AC168">
        <v>76.099999999999994</v>
      </c>
      <c r="AD168">
        <f t="shared" si="34"/>
        <v>23.900000000000006</v>
      </c>
      <c r="AE168">
        <v>364</v>
      </c>
      <c r="AF168">
        <v>3</v>
      </c>
    </row>
    <row r="169" spans="6:34" x14ac:dyDescent="0.25">
      <c r="F169">
        <f t="shared" si="31"/>
        <v>6.4197530864197532</v>
      </c>
      <c r="G169">
        <v>97.27</v>
      </c>
      <c r="H169">
        <f t="shared" si="32"/>
        <v>2.730000000000004</v>
      </c>
      <c r="I169">
        <v>130</v>
      </c>
      <c r="J169">
        <v>3</v>
      </c>
      <c r="Y169" s="11"/>
      <c r="AB169">
        <f t="shared" si="33"/>
        <v>12.687499999999998</v>
      </c>
      <c r="AC169">
        <v>67.569999999999993</v>
      </c>
      <c r="AD169">
        <f t="shared" si="34"/>
        <v>32.430000000000007</v>
      </c>
      <c r="AE169">
        <v>406</v>
      </c>
      <c r="AF169">
        <v>4</v>
      </c>
    </row>
    <row r="170" spans="6:34" x14ac:dyDescent="0.25">
      <c r="F170">
        <f t="shared" si="31"/>
        <v>6.666666666666667</v>
      </c>
      <c r="G170">
        <v>97.37</v>
      </c>
      <c r="H170">
        <f t="shared" si="32"/>
        <v>2.6299999999999955</v>
      </c>
      <c r="I170">
        <v>135</v>
      </c>
      <c r="J170">
        <v>4</v>
      </c>
      <c r="Y170" s="11"/>
      <c r="AB170">
        <f t="shared" si="33"/>
        <v>14.000000000000002</v>
      </c>
      <c r="AC170">
        <v>51.27</v>
      </c>
      <c r="AD170">
        <f t="shared" si="34"/>
        <v>48.73</v>
      </c>
      <c r="AE170">
        <v>448</v>
      </c>
      <c r="AF170">
        <v>5</v>
      </c>
    </row>
    <row r="171" spans="6:34" x14ac:dyDescent="0.25">
      <c r="F171">
        <f t="shared" si="31"/>
        <v>6.9135802469135799</v>
      </c>
      <c r="G171">
        <v>96.27</v>
      </c>
      <c r="H171">
        <f t="shared" si="32"/>
        <v>3.730000000000004</v>
      </c>
      <c r="I171">
        <v>140</v>
      </c>
      <c r="J171">
        <v>5</v>
      </c>
      <c r="Y171" s="11"/>
      <c r="AB171">
        <f t="shared" si="33"/>
        <v>15.312500000000002</v>
      </c>
      <c r="AC171">
        <v>29</v>
      </c>
      <c r="AD171">
        <f t="shared" si="34"/>
        <v>71</v>
      </c>
      <c r="AE171">
        <v>490</v>
      </c>
      <c r="AF171">
        <v>6</v>
      </c>
    </row>
    <row r="172" spans="6:34" x14ac:dyDescent="0.25">
      <c r="F172">
        <f t="shared" si="31"/>
        <v>7.1604938271604937</v>
      </c>
      <c r="G172">
        <v>96.5</v>
      </c>
      <c r="H172">
        <f t="shared" si="32"/>
        <v>3.5</v>
      </c>
      <c r="I172">
        <v>145</v>
      </c>
      <c r="J172">
        <v>6</v>
      </c>
      <c r="Y172" s="11"/>
      <c r="AB172">
        <f t="shared" si="33"/>
        <v>16.625</v>
      </c>
      <c r="AC172">
        <v>11.43</v>
      </c>
      <c r="AD172">
        <f t="shared" si="34"/>
        <v>88.57</v>
      </c>
      <c r="AE172">
        <v>532</v>
      </c>
      <c r="AF172">
        <v>7</v>
      </c>
    </row>
    <row r="173" spans="6:34" x14ac:dyDescent="0.25">
      <c r="F173">
        <f t="shared" si="31"/>
        <v>7.4074074074074066</v>
      </c>
      <c r="G173">
        <v>95.43</v>
      </c>
      <c r="H173">
        <f t="shared" si="32"/>
        <v>4.5699999999999932</v>
      </c>
      <c r="I173">
        <v>150</v>
      </c>
      <c r="J173">
        <v>7</v>
      </c>
      <c r="Y173" s="11"/>
      <c r="AB173">
        <f t="shared" si="33"/>
        <v>17.9375</v>
      </c>
      <c r="AC173">
        <v>2.13</v>
      </c>
      <c r="AD173">
        <f t="shared" si="34"/>
        <v>97.87</v>
      </c>
      <c r="AE173">
        <v>574</v>
      </c>
      <c r="AF173">
        <v>8</v>
      </c>
    </row>
    <row r="174" spans="6:34" x14ac:dyDescent="0.25">
      <c r="F174">
        <f t="shared" si="31"/>
        <v>7.6543209876543212</v>
      </c>
      <c r="G174">
        <v>95.37</v>
      </c>
      <c r="H174">
        <f t="shared" si="32"/>
        <v>4.6299999999999955</v>
      </c>
      <c r="I174">
        <v>155</v>
      </c>
      <c r="J174">
        <v>8</v>
      </c>
      <c r="Y174" s="11"/>
      <c r="AB174">
        <f t="shared" si="33"/>
        <v>19.25</v>
      </c>
      <c r="AC174">
        <v>0.2</v>
      </c>
      <c r="AD174">
        <f t="shared" si="34"/>
        <v>99.8</v>
      </c>
      <c r="AE174">
        <v>616</v>
      </c>
      <c r="AF174">
        <v>9</v>
      </c>
    </row>
    <row r="175" spans="6:34" x14ac:dyDescent="0.25">
      <c r="F175">
        <f t="shared" si="31"/>
        <v>7.9012345679012341</v>
      </c>
      <c r="G175">
        <v>94.07</v>
      </c>
      <c r="H175">
        <f t="shared" si="32"/>
        <v>5.9300000000000068</v>
      </c>
      <c r="I175">
        <v>160</v>
      </c>
      <c r="J175">
        <v>9</v>
      </c>
      <c r="Y175" s="11"/>
      <c r="AB175">
        <f t="shared" si="33"/>
        <v>20.5625</v>
      </c>
      <c r="AC175">
        <v>0</v>
      </c>
      <c r="AD175">
        <f t="shared" si="34"/>
        <v>100</v>
      </c>
      <c r="AE175">
        <v>658</v>
      </c>
      <c r="AF175">
        <v>10</v>
      </c>
    </row>
    <row r="176" spans="6:34" x14ac:dyDescent="0.25">
      <c r="F176">
        <f t="shared" si="31"/>
        <v>8.1481481481481488</v>
      </c>
      <c r="G176">
        <v>94.17</v>
      </c>
      <c r="H176">
        <f t="shared" si="32"/>
        <v>5.8299999999999983</v>
      </c>
      <c r="I176">
        <v>165</v>
      </c>
      <c r="J176">
        <v>10</v>
      </c>
      <c r="Y176" s="11"/>
      <c r="AB176">
        <f t="shared" si="33"/>
        <v>21.875</v>
      </c>
      <c r="AC176">
        <v>0</v>
      </c>
      <c r="AD176">
        <f t="shared" si="34"/>
        <v>100</v>
      </c>
      <c r="AE176">
        <v>700</v>
      </c>
      <c r="AF176">
        <v>11</v>
      </c>
    </row>
    <row r="177" spans="6:32" x14ac:dyDescent="0.25">
      <c r="F177">
        <f t="shared" si="31"/>
        <v>8.3950617283950617</v>
      </c>
      <c r="G177">
        <v>92.87</v>
      </c>
      <c r="H177">
        <f t="shared" si="32"/>
        <v>7.1299999999999955</v>
      </c>
      <c r="I177">
        <v>170</v>
      </c>
      <c r="J177">
        <v>11</v>
      </c>
      <c r="Y177" s="11"/>
      <c r="AB177">
        <f t="shared" si="33"/>
        <v>23.1875</v>
      </c>
      <c r="AC177">
        <v>0</v>
      </c>
      <c r="AD177">
        <f t="shared" si="34"/>
        <v>100</v>
      </c>
      <c r="AE177">
        <v>742</v>
      </c>
      <c r="AF177">
        <v>12</v>
      </c>
    </row>
    <row r="178" spans="6:32" x14ac:dyDescent="0.25">
      <c r="F178">
        <f t="shared" si="31"/>
        <v>8.6419753086419746</v>
      </c>
      <c r="G178">
        <v>92.97</v>
      </c>
      <c r="H178">
        <f t="shared" si="32"/>
        <v>7.0300000000000011</v>
      </c>
      <c r="I178">
        <v>175</v>
      </c>
      <c r="J178">
        <v>12</v>
      </c>
      <c r="Y178" s="11"/>
      <c r="AB178">
        <f t="shared" si="33"/>
        <v>24.5</v>
      </c>
      <c r="AC178">
        <v>0</v>
      </c>
      <c r="AD178">
        <f t="shared" si="34"/>
        <v>100</v>
      </c>
      <c r="AE178">
        <v>784</v>
      </c>
      <c r="AF178">
        <v>13</v>
      </c>
    </row>
    <row r="179" spans="6:32" x14ac:dyDescent="0.25">
      <c r="F179">
        <f t="shared" si="31"/>
        <v>8.8888888888888893</v>
      </c>
      <c r="G179">
        <v>91.53</v>
      </c>
      <c r="H179">
        <f t="shared" si="32"/>
        <v>8.4699999999999989</v>
      </c>
      <c r="I179">
        <v>180</v>
      </c>
      <c r="J179">
        <v>13</v>
      </c>
      <c r="Y179" s="11"/>
      <c r="AB179">
        <f t="shared" si="33"/>
        <v>25.8125</v>
      </c>
      <c r="AC179">
        <v>0</v>
      </c>
      <c r="AD179">
        <f t="shared" si="34"/>
        <v>100</v>
      </c>
      <c r="AE179">
        <v>826</v>
      </c>
      <c r="AF179">
        <v>14</v>
      </c>
    </row>
    <row r="180" spans="6:32" x14ac:dyDescent="0.25">
      <c r="F180">
        <f t="shared" si="31"/>
        <v>9.1358024691358022</v>
      </c>
      <c r="G180">
        <v>89.4</v>
      </c>
      <c r="H180">
        <f t="shared" si="32"/>
        <v>10.599999999999994</v>
      </c>
      <c r="I180">
        <v>185</v>
      </c>
      <c r="J180">
        <v>14</v>
      </c>
      <c r="Y180" s="11"/>
      <c r="AB180">
        <f t="shared" si="33"/>
        <v>27.125</v>
      </c>
      <c r="AC180">
        <v>0</v>
      </c>
      <c r="AD180">
        <f t="shared" si="34"/>
        <v>100</v>
      </c>
      <c r="AE180">
        <v>868</v>
      </c>
      <c r="AF180">
        <v>15</v>
      </c>
    </row>
    <row r="181" spans="6:32" x14ac:dyDescent="0.25">
      <c r="F181">
        <f t="shared" si="31"/>
        <v>9.3827160493827169</v>
      </c>
      <c r="G181">
        <v>88.83</v>
      </c>
      <c r="H181">
        <f t="shared" si="32"/>
        <v>11.170000000000002</v>
      </c>
      <c r="I181">
        <v>190</v>
      </c>
      <c r="J181">
        <v>15</v>
      </c>
      <c r="Y181" s="11"/>
    </row>
    <row r="182" spans="6:32" x14ac:dyDescent="0.25">
      <c r="F182">
        <f t="shared" si="31"/>
        <v>9.6296296296296298</v>
      </c>
      <c r="G182">
        <v>87.8</v>
      </c>
      <c r="H182">
        <f t="shared" si="32"/>
        <v>12.200000000000003</v>
      </c>
      <c r="I182">
        <v>195</v>
      </c>
      <c r="J182">
        <v>16</v>
      </c>
      <c r="Y182" s="11"/>
    </row>
    <row r="183" spans="6:32" x14ac:dyDescent="0.25">
      <c r="F183">
        <f t="shared" si="31"/>
        <v>9.8765432098765427</v>
      </c>
      <c r="G183">
        <v>89.77</v>
      </c>
      <c r="H183">
        <f t="shared" si="32"/>
        <v>10.230000000000004</v>
      </c>
      <c r="I183">
        <v>200</v>
      </c>
      <c r="J183">
        <v>17</v>
      </c>
      <c r="Y183" s="11"/>
    </row>
    <row r="184" spans="6:32" x14ac:dyDescent="0.25">
      <c r="F184">
        <f t="shared" si="31"/>
        <v>10.123456790123457</v>
      </c>
      <c r="G184">
        <v>87.33</v>
      </c>
      <c r="H184">
        <f t="shared" si="32"/>
        <v>12.670000000000002</v>
      </c>
      <c r="I184">
        <v>205</v>
      </c>
      <c r="J184">
        <v>18</v>
      </c>
      <c r="Y184" s="11"/>
    </row>
    <row r="185" spans="6:32" x14ac:dyDescent="0.25">
      <c r="F185">
        <f t="shared" si="31"/>
        <v>10.37037037037037</v>
      </c>
      <c r="G185">
        <v>87.17</v>
      </c>
      <c r="H185">
        <f t="shared" si="32"/>
        <v>12.829999999999998</v>
      </c>
      <c r="I185">
        <v>210</v>
      </c>
      <c r="J185">
        <v>19</v>
      </c>
      <c r="Y185" s="11"/>
    </row>
    <row r="186" spans="6:32" x14ac:dyDescent="0.25">
      <c r="F186">
        <f t="shared" si="31"/>
        <v>10.617283950617285</v>
      </c>
      <c r="G186">
        <v>83.87</v>
      </c>
      <c r="H186">
        <f t="shared" si="32"/>
        <v>16.129999999999995</v>
      </c>
      <c r="I186">
        <v>215</v>
      </c>
      <c r="J186">
        <v>20</v>
      </c>
      <c r="Y186" s="11"/>
    </row>
    <row r="187" spans="6:32" x14ac:dyDescent="0.25">
      <c r="F187">
        <f t="shared" si="31"/>
        <v>10.864197530864198</v>
      </c>
      <c r="G187">
        <v>83.6</v>
      </c>
      <c r="H187">
        <f t="shared" si="32"/>
        <v>16.400000000000006</v>
      </c>
      <c r="I187">
        <v>220</v>
      </c>
      <c r="J187">
        <v>21</v>
      </c>
      <c r="Y187" s="11"/>
    </row>
    <row r="188" spans="6:32" x14ac:dyDescent="0.25">
      <c r="F188">
        <f t="shared" si="31"/>
        <v>11.111111111111111</v>
      </c>
      <c r="G188">
        <v>81.93</v>
      </c>
      <c r="H188">
        <f t="shared" si="32"/>
        <v>18.069999999999993</v>
      </c>
      <c r="I188">
        <v>225</v>
      </c>
      <c r="J188">
        <v>22</v>
      </c>
      <c r="Y188" s="11"/>
    </row>
    <row r="189" spans="6:32" x14ac:dyDescent="0.25">
      <c r="F189">
        <f t="shared" si="31"/>
        <v>11.358024691358025</v>
      </c>
      <c r="G189">
        <v>79.930000000000007</v>
      </c>
      <c r="H189">
        <f t="shared" si="32"/>
        <v>20.069999999999993</v>
      </c>
      <c r="I189">
        <v>230</v>
      </c>
      <c r="J189">
        <v>23</v>
      </c>
      <c r="Y189" s="11"/>
    </row>
    <row r="190" spans="6:32" x14ac:dyDescent="0.25">
      <c r="F190">
        <f t="shared" si="31"/>
        <v>11.604938271604938</v>
      </c>
      <c r="G190">
        <v>79.8</v>
      </c>
      <c r="H190">
        <f t="shared" si="32"/>
        <v>20.200000000000003</v>
      </c>
      <c r="I190">
        <v>235</v>
      </c>
      <c r="J190">
        <v>24</v>
      </c>
      <c r="Y190" s="11"/>
    </row>
    <row r="191" spans="6:32" x14ac:dyDescent="0.25">
      <c r="F191">
        <f t="shared" si="31"/>
        <v>11.851851851851853</v>
      </c>
      <c r="G191">
        <v>76.47</v>
      </c>
      <c r="H191">
        <f t="shared" si="32"/>
        <v>23.53</v>
      </c>
      <c r="I191">
        <v>240</v>
      </c>
      <c r="J191">
        <v>25</v>
      </c>
      <c r="Y191" s="11"/>
    </row>
    <row r="192" spans="6:32" x14ac:dyDescent="0.25">
      <c r="F192">
        <f t="shared" si="31"/>
        <v>12.098765432098766</v>
      </c>
      <c r="G192">
        <v>73.23</v>
      </c>
      <c r="H192">
        <f t="shared" si="32"/>
        <v>26.769999999999996</v>
      </c>
      <c r="I192">
        <v>245</v>
      </c>
      <c r="J192">
        <v>26</v>
      </c>
      <c r="Y192" s="11"/>
    </row>
    <row r="193" spans="6:25" x14ac:dyDescent="0.25">
      <c r="F193">
        <f t="shared" si="31"/>
        <v>12.345679012345679</v>
      </c>
      <c r="G193">
        <v>71.7</v>
      </c>
      <c r="H193">
        <f t="shared" si="32"/>
        <v>28.299999999999997</v>
      </c>
      <c r="I193">
        <v>250</v>
      </c>
      <c r="J193">
        <v>27</v>
      </c>
      <c r="Y193" s="11"/>
    </row>
    <row r="194" spans="6:25" x14ac:dyDescent="0.25">
      <c r="F194">
        <f t="shared" si="31"/>
        <v>12.592592592592592</v>
      </c>
      <c r="G194">
        <v>68.7</v>
      </c>
      <c r="H194">
        <f t="shared" si="32"/>
        <v>31.299999999999997</v>
      </c>
      <c r="I194">
        <v>255</v>
      </c>
      <c r="J194">
        <v>28</v>
      </c>
      <c r="Y194" s="11"/>
    </row>
    <row r="195" spans="6:25" x14ac:dyDescent="0.25">
      <c r="F195">
        <f t="shared" si="31"/>
        <v>12.839506172839506</v>
      </c>
      <c r="G195">
        <v>65.53</v>
      </c>
      <c r="H195">
        <f t="shared" si="32"/>
        <v>34.47</v>
      </c>
      <c r="I195">
        <v>260</v>
      </c>
      <c r="J195">
        <v>29</v>
      </c>
      <c r="Y195" s="11"/>
    </row>
    <row r="196" spans="6:25" x14ac:dyDescent="0.25">
      <c r="F196">
        <f t="shared" si="31"/>
        <v>13.086419753086421</v>
      </c>
      <c r="G196">
        <v>63.83</v>
      </c>
      <c r="H196">
        <f t="shared" si="32"/>
        <v>36.17</v>
      </c>
      <c r="I196">
        <v>265</v>
      </c>
      <c r="J196">
        <v>30</v>
      </c>
      <c r="Y196" s="11"/>
    </row>
    <row r="197" spans="6:25" x14ac:dyDescent="0.25">
      <c r="F197">
        <f t="shared" si="31"/>
        <v>13.333333333333334</v>
      </c>
      <c r="G197">
        <v>59.5</v>
      </c>
      <c r="H197">
        <f t="shared" si="32"/>
        <v>40.5</v>
      </c>
      <c r="I197">
        <v>270</v>
      </c>
      <c r="J197">
        <v>31</v>
      </c>
      <c r="Y197" s="11"/>
    </row>
    <row r="198" spans="6:25" x14ac:dyDescent="0.25">
      <c r="F198">
        <f t="shared" si="31"/>
        <v>13.580246913580247</v>
      </c>
      <c r="G198">
        <v>57.1</v>
      </c>
      <c r="H198">
        <f t="shared" si="32"/>
        <v>42.9</v>
      </c>
      <c r="I198">
        <v>275</v>
      </c>
      <c r="J198">
        <v>32</v>
      </c>
      <c r="Y198" s="11"/>
    </row>
    <row r="199" spans="6:25" x14ac:dyDescent="0.25">
      <c r="F199">
        <f t="shared" si="31"/>
        <v>13.82716049382716</v>
      </c>
      <c r="G199">
        <v>53.63</v>
      </c>
      <c r="H199">
        <f t="shared" si="32"/>
        <v>46.37</v>
      </c>
      <c r="I199">
        <v>280</v>
      </c>
      <c r="J199">
        <v>33</v>
      </c>
      <c r="Y199" s="11"/>
    </row>
    <row r="200" spans="6:25" x14ac:dyDescent="0.25">
      <c r="F200">
        <f t="shared" si="31"/>
        <v>14.074074074074074</v>
      </c>
      <c r="G200">
        <v>50.73</v>
      </c>
      <c r="H200">
        <f t="shared" si="32"/>
        <v>49.27</v>
      </c>
      <c r="I200">
        <v>285</v>
      </c>
      <c r="J200">
        <v>34</v>
      </c>
      <c r="Y200" s="11"/>
    </row>
    <row r="201" spans="6:25" x14ac:dyDescent="0.25">
      <c r="F201">
        <f t="shared" si="31"/>
        <v>14.320987654320987</v>
      </c>
      <c r="G201">
        <v>46.23</v>
      </c>
      <c r="H201">
        <f t="shared" si="32"/>
        <v>53.77</v>
      </c>
      <c r="I201">
        <v>290</v>
      </c>
      <c r="J201">
        <v>35</v>
      </c>
      <c r="Y201" s="11"/>
    </row>
    <row r="202" spans="6:25" x14ac:dyDescent="0.25">
      <c r="F202">
        <f t="shared" si="31"/>
        <v>14.5679012345679</v>
      </c>
      <c r="G202">
        <v>43.6</v>
      </c>
      <c r="H202">
        <f t="shared" si="32"/>
        <v>56.4</v>
      </c>
      <c r="I202">
        <v>295</v>
      </c>
      <c r="J202">
        <v>36</v>
      </c>
      <c r="Y202" s="11"/>
    </row>
    <row r="203" spans="6:25" x14ac:dyDescent="0.25">
      <c r="F203">
        <f t="shared" si="31"/>
        <v>14.814814814814813</v>
      </c>
      <c r="G203">
        <v>41</v>
      </c>
      <c r="H203">
        <f t="shared" si="32"/>
        <v>59</v>
      </c>
      <c r="I203">
        <v>300</v>
      </c>
      <c r="J203">
        <v>37</v>
      </c>
      <c r="Y203" s="11"/>
    </row>
    <row r="204" spans="6:25" x14ac:dyDescent="0.25">
      <c r="F204">
        <f t="shared" si="31"/>
        <v>15.06172839506173</v>
      </c>
      <c r="G204">
        <v>36.43</v>
      </c>
      <c r="H204">
        <f t="shared" si="32"/>
        <v>63.57</v>
      </c>
      <c r="I204">
        <v>305</v>
      </c>
      <c r="J204">
        <v>38</v>
      </c>
      <c r="Y204" s="11"/>
    </row>
    <row r="205" spans="6:25" x14ac:dyDescent="0.25">
      <c r="F205">
        <f t="shared" si="31"/>
        <v>15.308641975308642</v>
      </c>
      <c r="G205">
        <v>32.07</v>
      </c>
      <c r="H205">
        <f t="shared" si="32"/>
        <v>67.930000000000007</v>
      </c>
      <c r="I205">
        <v>310</v>
      </c>
      <c r="J205">
        <v>39</v>
      </c>
      <c r="Y205" s="11"/>
    </row>
    <row r="206" spans="6:25" x14ac:dyDescent="0.25">
      <c r="F206">
        <f t="shared" si="31"/>
        <v>15.555555555555555</v>
      </c>
      <c r="G206">
        <v>28.4</v>
      </c>
      <c r="H206">
        <f t="shared" si="32"/>
        <v>71.599999999999994</v>
      </c>
      <c r="I206">
        <v>315</v>
      </c>
      <c r="J206">
        <v>40</v>
      </c>
      <c r="Y206" s="11"/>
    </row>
    <row r="207" spans="6:25" x14ac:dyDescent="0.25">
      <c r="F207">
        <f t="shared" si="31"/>
        <v>15.802469135802468</v>
      </c>
      <c r="G207">
        <v>25.17</v>
      </c>
      <c r="H207">
        <f t="shared" si="32"/>
        <v>74.83</v>
      </c>
      <c r="I207">
        <v>320</v>
      </c>
      <c r="J207">
        <v>41</v>
      </c>
      <c r="Y207" s="11"/>
    </row>
    <row r="208" spans="6:25" x14ac:dyDescent="0.25">
      <c r="Y208" s="11"/>
    </row>
    <row r="209" spans="6:25" x14ac:dyDescent="0.25">
      <c r="Y209" s="11"/>
    </row>
    <row r="210" spans="6:25" x14ac:dyDescent="0.25">
      <c r="Y210" s="11"/>
    </row>
    <row r="211" spans="6:25" x14ac:dyDescent="0.25">
      <c r="Y211" s="11"/>
    </row>
    <row r="212" spans="6:25" ht="21" x14ac:dyDescent="0.25">
      <c r="K212" s="6" t="s">
        <v>5</v>
      </c>
      <c r="L212" s="5" t="s">
        <v>4</v>
      </c>
      <c r="Y212" s="11"/>
    </row>
    <row r="213" spans="6:25" ht="15.75" thickBot="1" x14ac:dyDescent="0.3">
      <c r="K213" s="4">
        <v>2500</v>
      </c>
      <c r="L213" s="4" t="s">
        <v>16</v>
      </c>
      <c r="Y213" s="11"/>
    </row>
    <row r="214" spans="6:25" ht="22.5" thickTop="1" thickBot="1" x14ac:dyDescent="0.3">
      <c r="F214" s="7" t="s">
        <v>6</v>
      </c>
      <c r="G214" s="1" t="s">
        <v>0</v>
      </c>
      <c r="H214" s="2" t="s">
        <v>1</v>
      </c>
      <c r="I214" s="3" t="s">
        <v>2</v>
      </c>
      <c r="J214" s="8" t="s">
        <v>7</v>
      </c>
      <c r="Y214" s="11"/>
    </row>
    <row r="215" spans="6:25" ht="15.75" thickTop="1" x14ac:dyDescent="0.25">
      <c r="F215">
        <f t="shared" ref="F215:F216" si="35">(I215/$K$213)*100</f>
        <v>7.0000000000000009</v>
      </c>
      <c r="G215">
        <v>96.93</v>
      </c>
      <c r="H215">
        <f t="shared" ref="H215:H278" si="36">100-G215</f>
        <v>3.0699999999999932</v>
      </c>
      <c r="I215">
        <v>175</v>
      </c>
      <c r="J215">
        <v>1</v>
      </c>
      <c r="Y215" s="11"/>
    </row>
    <row r="216" spans="6:25" x14ac:dyDescent="0.25">
      <c r="F216">
        <f t="shared" si="35"/>
        <v>7.1999999999999993</v>
      </c>
      <c r="G216">
        <v>96.3</v>
      </c>
      <c r="H216">
        <f t="shared" si="36"/>
        <v>3.7000000000000028</v>
      </c>
      <c r="I216">
        <v>180</v>
      </c>
      <c r="J216">
        <v>2</v>
      </c>
      <c r="Y216" s="11"/>
    </row>
    <row r="217" spans="6:25" x14ac:dyDescent="0.25">
      <c r="F217">
        <f>(I217/$K$213)*100</f>
        <v>7.3999999999999995</v>
      </c>
      <c r="G217">
        <v>95.2</v>
      </c>
      <c r="H217">
        <f t="shared" si="36"/>
        <v>4.7999999999999972</v>
      </c>
      <c r="I217">
        <v>185</v>
      </c>
      <c r="J217">
        <v>3</v>
      </c>
      <c r="Y217" s="11"/>
    </row>
    <row r="218" spans="6:25" x14ac:dyDescent="0.25">
      <c r="F218">
        <f t="shared" ref="F218:F281" si="37">(I218/$K$213)*100</f>
        <v>7.6</v>
      </c>
      <c r="G218">
        <v>95.1</v>
      </c>
      <c r="H218">
        <f t="shared" si="36"/>
        <v>4.9000000000000057</v>
      </c>
      <c r="I218">
        <v>190</v>
      </c>
      <c r="J218">
        <v>4</v>
      </c>
      <c r="Y218" s="11"/>
    </row>
    <row r="219" spans="6:25" x14ac:dyDescent="0.25">
      <c r="F219">
        <f t="shared" si="37"/>
        <v>7.8</v>
      </c>
      <c r="G219">
        <v>94.4</v>
      </c>
      <c r="H219">
        <f t="shared" si="36"/>
        <v>5.5999999999999943</v>
      </c>
      <c r="I219">
        <v>195</v>
      </c>
      <c r="J219">
        <v>5</v>
      </c>
      <c r="Y219" s="11"/>
    </row>
    <row r="220" spans="6:25" x14ac:dyDescent="0.25">
      <c r="F220">
        <f t="shared" si="37"/>
        <v>8</v>
      </c>
      <c r="G220">
        <v>95.8</v>
      </c>
      <c r="H220">
        <f t="shared" si="36"/>
        <v>4.2000000000000028</v>
      </c>
      <c r="I220">
        <v>200</v>
      </c>
      <c r="J220">
        <v>6</v>
      </c>
      <c r="Y220" s="11"/>
    </row>
    <row r="221" spans="6:25" x14ac:dyDescent="0.25">
      <c r="F221">
        <f t="shared" si="37"/>
        <v>8.2000000000000011</v>
      </c>
      <c r="G221">
        <v>95.27</v>
      </c>
      <c r="H221">
        <f t="shared" si="36"/>
        <v>4.730000000000004</v>
      </c>
      <c r="I221">
        <v>205</v>
      </c>
      <c r="J221">
        <v>7</v>
      </c>
      <c r="Y221" s="11"/>
    </row>
    <row r="222" spans="6:25" x14ac:dyDescent="0.25">
      <c r="F222">
        <f t="shared" si="37"/>
        <v>8.4</v>
      </c>
      <c r="G222">
        <v>94.57</v>
      </c>
      <c r="H222">
        <f t="shared" si="36"/>
        <v>5.4300000000000068</v>
      </c>
      <c r="I222">
        <v>210</v>
      </c>
      <c r="J222">
        <v>8</v>
      </c>
      <c r="Y222" s="11"/>
    </row>
    <row r="223" spans="6:25" x14ac:dyDescent="0.25">
      <c r="F223">
        <f t="shared" si="37"/>
        <v>8.6</v>
      </c>
      <c r="G223">
        <v>93.13</v>
      </c>
      <c r="H223">
        <f t="shared" si="36"/>
        <v>6.8700000000000045</v>
      </c>
      <c r="I223">
        <v>215</v>
      </c>
      <c r="J223">
        <v>9</v>
      </c>
      <c r="Y223" s="11"/>
    </row>
    <row r="224" spans="6:25" x14ac:dyDescent="0.25">
      <c r="F224">
        <f t="shared" si="37"/>
        <v>8.7999999999999989</v>
      </c>
      <c r="G224">
        <v>93.47</v>
      </c>
      <c r="H224">
        <f t="shared" si="36"/>
        <v>6.5300000000000011</v>
      </c>
      <c r="I224">
        <v>220</v>
      </c>
      <c r="J224">
        <v>10</v>
      </c>
      <c r="Y224" s="11"/>
    </row>
    <row r="225" spans="6:25" x14ac:dyDescent="0.25">
      <c r="F225">
        <f t="shared" si="37"/>
        <v>9</v>
      </c>
      <c r="G225">
        <v>92.47</v>
      </c>
      <c r="H225">
        <f t="shared" si="36"/>
        <v>7.5300000000000011</v>
      </c>
      <c r="I225">
        <v>225</v>
      </c>
      <c r="J225">
        <v>11</v>
      </c>
      <c r="Y225" s="11"/>
    </row>
    <row r="226" spans="6:25" x14ac:dyDescent="0.25">
      <c r="F226">
        <f t="shared" si="37"/>
        <v>9.1999999999999993</v>
      </c>
      <c r="G226">
        <v>91.8</v>
      </c>
      <c r="H226">
        <f t="shared" si="36"/>
        <v>8.2000000000000028</v>
      </c>
      <c r="I226">
        <v>230</v>
      </c>
      <c r="J226">
        <v>12</v>
      </c>
      <c r="Y226" s="11"/>
    </row>
    <row r="227" spans="6:25" x14ac:dyDescent="0.25">
      <c r="F227">
        <f t="shared" si="37"/>
        <v>9.4</v>
      </c>
      <c r="G227">
        <v>91.33</v>
      </c>
      <c r="H227">
        <f t="shared" si="36"/>
        <v>8.6700000000000017</v>
      </c>
      <c r="I227">
        <v>235</v>
      </c>
      <c r="J227">
        <v>13</v>
      </c>
      <c r="Y227" s="11"/>
    </row>
    <row r="228" spans="6:25" x14ac:dyDescent="0.25">
      <c r="F228">
        <f t="shared" si="37"/>
        <v>9.6</v>
      </c>
      <c r="G228">
        <v>90.3</v>
      </c>
      <c r="H228">
        <f t="shared" si="36"/>
        <v>9.7000000000000028</v>
      </c>
      <c r="I228">
        <v>240</v>
      </c>
      <c r="J228">
        <v>14</v>
      </c>
      <c r="Y228" s="11"/>
    </row>
    <row r="229" spans="6:25" x14ac:dyDescent="0.25">
      <c r="F229">
        <f t="shared" si="37"/>
        <v>9.8000000000000007</v>
      </c>
      <c r="G229">
        <v>89.8</v>
      </c>
      <c r="H229">
        <f t="shared" si="36"/>
        <v>10.200000000000003</v>
      </c>
      <c r="I229">
        <v>245</v>
      </c>
      <c r="J229">
        <v>15</v>
      </c>
      <c r="Y229" s="11"/>
    </row>
    <row r="230" spans="6:25" x14ac:dyDescent="0.25">
      <c r="F230">
        <f t="shared" si="37"/>
        <v>10</v>
      </c>
      <c r="G230">
        <v>89.37</v>
      </c>
      <c r="H230">
        <f t="shared" si="36"/>
        <v>10.629999999999995</v>
      </c>
      <c r="I230">
        <v>250</v>
      </c>
      <c r="J230">
        <v>16</v>
      </c>
      <c r="Y230" s="11"/>
    </row>
    <row r="231" spans="6:25" x14ac:dyDescent="0.25">
      <c r="F231">
        <f t="shared" si="37"/>
        <v>10.199999999999999</v>
      </c>
      <c r="G231">
        <v>87.27</v>
      </c>
      <c r="H231">
        <f t="shared" si="36"/>
        <v>12.730000000000004</v>
      </c>
      <c r="I231">
        <v>255</v>
      </c>
      <c r="J231">
        <v>17</v>
      </c>
      <c r="Y231" s="11"/>
    </row>
    <row r="232" spans="6:25" x14ac:dyDescent="0.25">
      <c r="F232">
        <f t="shared" si="37"/>
        <v>10.4</v>
      </c>
      <c r="G232">
        <v>85.47</v>
      </c>
      <c r="H232">
        <f t="shared" si="36"/>
        <v>14.530000000000001</v>
      </c>
      <c r="I232">
        <v>260</v>
      </c>
      <c r="J232">
        <v>18</v>
      </c>
      <c r="Y232" s="11"/>
    </row>
    <row r="233" spans="6:25" x14ac:dyDescent="0.25">
      <c r="F233">
        <f t="shared" si="37"/>
        <v>10.6</v>
      </c>
      <c r="G233">
        <v>84.77</v>
      </c>
      <c r="H233">
        <f t="shared" si="36"/>
        <v>15.230000000000004</v>
      </c>
      <c r="I233">
        <v>265</v>
      </c>
      <c r="J233">
        <v>19</v>
      </c>
      <c r="Y233" s="11"/>
    </row>
    <row r="234" spans="6:25" x14ac:dyDescent="0.25">
      <c r="F234">
        <f t="shared" si="37"/>
        <v>10.8</v>
      </c>
      <c r="G234">
        <v>83.23</v>
      </c>
      <c r="H234">
        <f t="shared" si="36"/>
        <v>16.769999999999996</v>
      </c>
      <c r="I234">
        <v>270</v>
      </c>
      <c r="J234">
        <v>20</v>
      </c>
      <c r="Y234" s="11"/>
    </row>
    <row r="235" spans="6:25" x14ac:dyDescent="0.25">
      <c r="F235">
        <f t="shared" si="37"/>
        <v>11</v>
      </c>
      <c r="G235">
        <v>81.77</v>
      </c>
      <c r="H235">
        <f t="shared" si="36"/>
        <v>18.230000000000004</v>
      </c>
      <c r="I235">
        <v>275</v>
      </c>
      <c r="J235">
        <v>21</v>
      </c>
      <c r="Y235" s="11"/>
    </row>
    <row r="236" spans="6:25" x14ac:dyDescent="0.25">
      <c r="F236">
        <f t="shared" si="37"/>
        <v>11.200000000000001</v>
      </c>
      <c r="G236">
        <v>80.47</v>
      </c>
      <c r="H236">
        <f t="shared" si="36"/>
        <v>19.53</v>
      </c>
      <c r="I236">
        <v>280</v>
      </c>
      <c r="J236">
        <v>22</v>
      </c>
      <c r="Y236" s="11"/>
    </row>
    <row r="237" spans="6:25" x14ac:dyDescent="0.25">
      <c r="F237">
        <f t="shared" si="37"/>
        <v>11.4</v>
      </c>
      <c r="G237">
        <v>78.77</v>
      </c>
      <c r="H237">
        <f t="shared" si="36"/>
        <v>21.230000000000004</v>
      </c>
      <c r="I237">
        <v>285</v>
      </c>
      <c r="J237">
        <v>23</v>
      </c>
      <c r="Y237" s="11"/>
    </row>
    <row r="238" spans="6:25" x14ac:dyDescent="0.25">
      <c r="F238">
        <f t="shared" si="37"/>
        <v>11.600000000000001</v>
      </c>
      <c r="G238">
        <v>76.53</v>
      </c>
      <c r="H238">
        <f t="shared" si="36"/>
        <v>23.47</v>
      </c>
      <c r="I238">
        <v>290</v>
      </c>
      <c r="J238">
        <v>24</v>
      </c>
      <c r="Y238" s="11"/>
    </row>
    <row r="239" spans="6:25" x14ac:dyDescent="0.25">
      <c r="F239">
        <f t="shared" si="37"/>
        <v>11.799999999999999</v>
      </c>
      <c r="G239">
        <v>73.930000000000007</v>
      </c>
      <c r="H239">
        <f t="shared" si="36"/>
        <v>26.069999999999993</v>
      </c>
      <c r="I239">
        <v>295</v>
      </c>
      <c r="J239">
        <v>25</v>
      </c>
      <c r="Y239" s="11"/>
    </row>
    <row r="240" spans="6:25" x14ac:dyDescent="0.25">
      <c r="F240">
        <f t="shared" si="37"/>
        <v>12</v>
      </c>
      <c r="G240">
        <v>73.33</v>
      </c>
      <c r="H240">
        <f t="shared" si="36"/>
        <v>26.67</v>
      </c>
      <c r="I240">
        <v>300</v>
      </c>
      <c r="J240">
        <v>26</v>
      </c>
      <c r="Y240" s="11"/>
    </row>
    <row r="241" spans="6:25" x14ac:dyDescent="0.25">
      <c r="F241">
        <f t="shared" si="37"/>
        <v>12.2</v>
      </c>
      <c r="G241">
        <v>70.53</v>
      </c>
      <c r="H241">
        <f t="shared" si="36"/>
        <v>29.47</v>
      </c>
      <c r="I241">
        <v>305</v>
      </c>
      <c r="J241">
        <v>27</v>
      </c>
      <c r="Y241" s="11"/>
    </row>
    <row r="242" spans="6:25" x14ac:dyDescent="0.25">
      <c r="F242">
        <f t="shared" si="37"/>
        <v>12.4</v>
      </c>
      <c r="G242">
        <v>69.27</v>
      </c>
      <c r="H242">
        <f t="shared" si="36"/>
        <v>30.730000000000004</v>
      </c>
      <c r="I242">
        <v>310</v>
      </c>
      <c r="J242">
        <v>28</v>
      </c>
      <c r="Y242" s="11"/>
    </row>
    <row r="243" spans="6:25" x14ac:dyDescent="0.25">
      <c r="F243">
        <f t="shared" si="37"/>
        <v>12.6</v>
      </c>
      <c r="G243">
        <v>69.17</v>
      </c>
      <c r="H243">
        <f t="shared" si="36"/>
        <v>30.83</v>
      </c>
      <c r="I243">
        <v>315</v>
      </c>
      <c r="J243">
        <v>29</v>
      </c>
      <c r="Y243" s="11"/>
    </row>
    <row r="244" spans="6:25" x14ac:dyDescent="0.25">
      <c r="F244">
        <f t="shared" si="37"/>
        <v>12.8</v>
      </c>
      <c r="G244">
        <v>66.930000000000007</v>
      </c>
      <c r="H244">
        <f t="shared" si="36"/>
        <v>33.069999999999993</v>
      </c>
      <c r="I244">
        <v>320</v>
      </c>
      <c r="J244">
        <v>30</v>
      </c>
      <c r="Y244" s="11"/>
    </row>
    <row r="245" spans="6:25" x14ac:dyDescent="0.25">
      <c r="F245">
        <f t="shared" si="37"/>
        <v>13</v>
      </c>
      <c r="G245">
        <v>61.23</v>
      </c>
      <c r="H245">
        <f t="shared" si="36"/>
        <v>38.770000000000003</v>
      </c>
      <c r="I245">
        <v>325</v>
      </c>
      <c r="J245">
        <v>31</v>
      </c>
      <c r="Y245" s="11"/>
    </row>
    <row r="246" spans="6:25" x14ac:dyDescent="0.25">
      <c r="F246">
        <f t="shared" si="37"/>
        <v>13.200000000000001</v>
      </c>
      <c r="G246">
        <v>59.8</v>
      </c>
      <c r="H246">
        <f t="shared" si="36"/>
        <v>40.200000000000003</v>
      </c>
      <c r="I246">
        <v>330</v>
      </c>
      <c r="J246">
        <v>32</v>
      </c>
      <c r="Y246" s="11"/>
    </row>
    <row r="247" spans="6:25" x14ac:dyDescent="0.25">
      <c r="F247">
        <f t="shared" si="37"/>
        <v>13.4</v>
      </c>
      <c r="G247">
        <v>55.37</v>
      </c>
      <c r="H247">
        <f t="shared" si="36"/>
        <v>44.63</v>
      </c>
      <c r="I247">
        <v>335</v>
      </c>
      <c r="J247">
        <v>33</v>
      </c>
      <c r="Y247" s="11"/>
    </row>
    <row r="248" spans="6:25" x14ac:dyDescent="0.25">
      <c r="F248">
        <f t="shared" si="37"/>
        <v>13.600000000000001</v>
      </c>
      <c r="G248">
        <v>52.7</v>
      </c>
      <c r="H248">
        <f t="shared" si="36"/>
        <v>47.3</v>
      </c>
      <c r="I248">
        <v>340</v>
      </c>
      <c r="J248">
        <v>34</v>
      </c>
      <c r="Y248" s="11"/>
    </row>
    <row r="249" spans="6:25" x14ac:dyDescent="0.25">
      <c r="F249">
        <f t="shared" si="37"/>
        <v>13.8</v>
      </c>
      <c r="G249">
        <v>51.3</v>
      </c>
      <c r="H249">
        <f t="shared" si="36"/>
        <v>48.7</v>
      </c>
      <c r="I249">
        <v>345</v>
      </c>
      <c r="J249">
        <v>35</v>
      </c>
      <c r="Y249" s="11"/>
    </row>
    <row r="250" spans="6:25" x14ac:dyDescent="0.25">
      <c r="F250">
        <f t="shared" si="37"/>
        <v>14.000000000000002</v>
      </c>
      <c r="G250">
        <v>48.73</v>
      </c>
      <c r="H250">
        <f t="shared" si="36"/>
        <v>51.27</v>
      </c>
      <c r="I250">
        <v>350</v>
      </c>
      <c r="J250">
        <v>36</v>
      </c>
      <c r="Y250" s="11"/>
    </row>
    <row r="251" spans="6:25" x14ac:dyDescent="0.25">
      <c r="F251">
        <f t="shared" si="37"/>
        <v>14.2</v>
      </c>
      <c r="G251">
        <v>45.3</v>
      </c>
      <c r="H251">
        <f t="shared" si="36"/>
        <v>54.7</v>
      </c>
      <c r="I251">
        <v>355</v>
      </c>
      <c r="J251">
        <v>37</v>
      </c>
      <c r="Y251" s="11"/>
    </row>
    <row r="252" spans="6:25" x14ac:dyDescent="0.25">
      <c r="F252">
        <f t="shared" si="37"/>
        <v>14.399999999999999</v>
      </c>
      <c r="G252">
        <v>43.43</v>
      </c>
      <c r="H252">
        <f t="shared" si="36"/>
        <v>56.57</v>
      </c>
      <c r="I252">
        <v>360</v>
      </c>
      <c r="J252">
        <v>38</v>
      </c>
      <c r="Y252" s="11"/>
    </row>
    <row r="253" spans="6:25" x14ac:dyDescent="0.25">
      <c r="F253">
        <f t="shared" si="37"/>
        <v>14.6</v>
      </c>
      <c r="G253">
        <v>40.130000000000003</v>
      </c>
      <c r="H253">
        <f t="shared" si="36"/>
        <v>59.87</v>
      </c>
      <c r="I253">
        <v>365</v>
      </c>
      <c r="J253">
        <v>39</v>
      </c>
    </row>
    <row r="254" spans="6:25" x14ac:dyDescent="0.25">
      <c r="F254">
        <f t="shared" si="37"/>
        <v>14.799999999999999</v>
      </c>
      <c r="G254">
        <v>36.33</v>
      </c>
      <c r="H254">
        <f t="shared" si="36"/>
        <v>63.67</v>
      </c>
      <c r="I254">
        <v>370</v>
      </c>
      <c r="J254">
        <v>40</v>
      </c>
    </row>
    <row r="255" spans="6:25" x14ac:dyDescent="0.25">
      <c r="F255">
        <f t="shared" si="37"/>
        <v>15</v>
      </c>
      <c r="G255">
        <v>32.83</v>
      </c>
      <c r="H255">
        <f t="shared" si="36"/>
        <v>67.17</v>
      </c>
      <c r="I255">
        <v>375</v>
      </c>
      <c r="J255">
        <v>41</v>
      </c>
    </row>
    <row r="256" spans="6:25" x14ac:dyDescent="0.25">
      <c r="F256">
        <f t="shared" si="37"/>
        <v>15.2</v>
      </c>
      <c r="G256">
        <v>30.63</v>
      </c>
      <c r="H256">
        <f t="shared" si="36"/>
        <v>69.37</v>
      </c>
      <c r="I256">
        <v>380</v>
      </c>
      <c r="J256">
        <v>42</v>
      </c>
    </row>
    <row r="257" spans="6:10" x14ac:dyDescent="0.25">
      <c r="F257">
        <f t="shared" si="37"/>
        <v>15.4</v>
      </c>
      <c r="G257">
        <v>28.8</v>
      </c>
      <c r="H257">
        <f t="shared" si="36"/>
        <v>71.2</v>
      </c>
      <c r="I257">
        <v>385</v>
      </c>
      <c r="J257">
        <v>43</v>
      </c>
    </row>
    <row r="258" spans="6:10" x14ac:dyDescent="0.25">
      <c r="F258">
        <f t="shared" si="37"/>
        <v>15.6</v>
      </c>
      <c r="G258">
        <v>25.07</v>
      </c>
      <c r="H258">
        <f t="shared" si="36"/>
        <v>74.930000000000007</v>
      </c>
      <c r="I258">
        <v>390</v>
      </c>
      <c r="J258">
        <v>44</v>
      </c>
    </row>
    <row r="259" spans="6:10" x14ac:dyDescent="0.25">
      <c r="F259">
        <f t="shared" si="37"/>
        <v>15.8</v>
      </c>
      <c r="G259">
        <v>24.43</v>
      </c>
      <c r="H259">
        <f t="shared" si="36"/>
        <v>75.569999999999993</v>
      </c>
      <c r="I259">
        <v>395</v>
      </c>
      <c r="J259">
        <v>45</v>
      </c>
    </row>
    <row r="260" spans="6:10" x14ac:dyDescent="0.25">
      <c r="F260">
        <f t="shared" si="37"/>
        <v>16</v>
      </c>
      <c r="G260">
        <v>24.87</v>
      </c>
      <c r="H260">
        <f t="shared" si="36"/>
        <v>75.13</v>
      </c>
      <c r="I260">
        <v>400</v>
      </c>
      <c r="J260">
        <v>46</v>
      </c>
    </row>
    <row r="261" spans="6:10" x14ac:dyDescent="0.25">
      <c r="F261">
        <f t="shared" si="37"/>
        <v>16.2</v>
      </c>
      <c r="G261">
        <v>20.67</v>
      </c>
      <c r="H261">
        <f t="shared" si="36"/>
        <v>79.33</v>
      </c>
      <c r="I261">
        <v>405</v>
      </c>
      <c r="J261">
        <v>47</v>
      </c>
    </row>
    <row r="262" spans="6:10" x14ac:dyDescent="0.25">
      <c r="F262">
        <f t="shared" si="37"/>
        <v>16.400000000000002</v>
      </c>
      <c r="G262">
        <v>18.670000000000002</v>
      </c>
      <c r="H262">
        <f t="shared" si="36"/>
        <v>81.33</v>
      </c>
      <c r="I262">
        <v>410</v>
      </c>
      <c r="J262">
        <v>48</v>
      </c>
    </row>
    <row r="263" spans="6:10" x14ac:dyDescent="0.25">
      <c r="F263">
        <f t="shared" si="37"/>
        <v>16.600000000000001</v>
      </c>
      <c r="G263">
        <v>15.27</v>
      </c>
      <c r="H263">
        <f t="shared" si="36"/>
        <v>84.73</v>
      </c>
      <c r="I263">
        <v>415</v>
      </c>
      <c r="J263">
        <v>49</v>
      </c>
    </row>
    <row r="264" spans="6:10" x14ac:dyDescent="0.25">
      <c r="F264">
        <f t="shared" si="37"/>
        <v>16.8</v>
      </c>
      <c r="G264">
        <v>14.07</v>
      </c>
      <c r="H264">
        <f t="shared" si="36"/>
        <v>85.93</v>
      </c>
      <c r="I264">
        <v>420</v>
      </c>
      <c r="J264">
        <v>50</v>
      </c>
    </row>
    <row r="265" spans="6:10" x14ac:dyDescent="0.25">
      <c r="F265">
        <f t="shared" si="37"/>
        <v>17</v>
      </c>
      <c r="G265">
        <v>10.57</v>
      </c>
      <c r="H265">
        <f t="shared" si="36"/>
        <v>89.43</v>
      </c>
      <c r="I265">
        <v>425</v>
      </c>
      <c r="J265">
        <v>51</v>
      </c>
    </row>
    <row r="266" spans="6:10" x14ac:dyDescent="0.25">
      <c r="F266">
        <f t="shared" si="37"/>
        <v>17.2</v>
      </c>
      <c r="G266">
        <v>8.43</v>
      </c>
      <c r="H266">
        <f t="shared" si="36"/>
        <v>91.57</v>
      </c>
      <c r="I266">
        <v>430</v>
      </c>
      <c r="J266">
        <v>52</v>
      </c>
    </row>
    <row r="267" spans="6:10" x14ac:dyDescent="0.25">
      <c r="F267">
        <f t="shared" si="37"/>
        <v>17.399999999999999</v>
      </c>
      <c r="G267">
        <v>7.93</v>
      </c>
      <c r="H267">
        <f t="shared" si="36"/>
        <v>92.07</v>
      </c>
      <c r="I267">
        <v>435</v>
      </c>
      <c r="J267">
        <v>53</v>
      </c>
    </row>
    <row r="268" spans="6:10" x14ac:dyDescent="0.25">
      <c r="F268">
        <f t="shared" si="37"/>
        <v>17.599999999999998</v>
      </c>
      <c r="G268">
        <v>6.3</v>
      </c>
      <c r="H268">
        <f t="shared" si="36"/>
        <v>93.7</v>
      </c>
      <c r="I268">
        <v>440</v>
      </c>
      <c r="J268">
        <v>54</v>
      </c>
    </row>
    <row r="269" spans="6:10" x14ac:dyDescent="0.25">
      <c r="F269">
        <f t="shared" si="37"/>
        <v>17.8</v>
      </c>
      <c r="G269">
        <v>4.87</v>
      </c>
      <c r="H269">
        <f t="shared" si="36"/>
        <v>95.13</v>
      </c>
      <c r="I269">
        <v>445</v>
      </c>
      <c r="J269">
        <v>55</v>
      </c>
    </row>
    <row r="270" spans="6:10" x14ac:dyDescent="0.25">
      <c r="F270">
        <f t="shared" si="37"/>
        <v>18</v>
      </c>
      <c r="G270">
        <v>3.73</v>
      </c>
      <c r="H270">
        <f t="shared" si="36"/>
        <v>96.27</v>
      </c>
      <c r="I270">
        <v>450</v>
      </c>
      <c r="J270">
        <v>56</v>
      </c>
    </row>
    <row r="271" spans="6:10" x14ac:dyDescent="0.25">
      <c r="F271">
        <f t="shared" si="37"/>
        <v>18.2</v>
      </c>
      <c r="G271">
        <v>2.33</v>
      </c>
      <c r="H271">
        <f t="shared" si="36"/>
        <v>97.67</v>
      </c>
      <c r="I271">
        <v>455</v>
      </c>
      <c r="J271">
        <v>57</v>
      </c>
    </row>
    <row r="272" spans="6:10" x14ac:dyDescent="0.25">
      <c r="F272">
        <f t="shared" si="37"/>
        <v>18.399999999999999</v>
      </c>
      <c r="G272">
        <v>2.0299999999999998</v>
      </c>
      <c r="H272">
        <f t="shared" si="36"/>
        <v>97.97</v>
      </c>
      <c r="I272">
        <v>460</v>
      </c>
      <c r="J272">
        <v>58</v>
      </c>
    </row>
    <row r="273" spans="6:10" x14ac:dyDescent="0.25">
      <c r="F273">
        <f t="shared" si="37"/>
        <v>18.600000000000001</v>
      </c>
      <c r="G273">
        <v>1.93</v>
      </c>
      <c r="H273">
        <f t="shared" si="36"/>
        <v>98.07</v>
      </c>
      <c r="I273">
        <v>465</v>
      </c>
      <c r="J273">
        <v>59</v>
      </c>
    </row>
    <row r="274" spans="6:10" x14ac:dyDescent="0.25">
      <c r="F274">
        <f t="shared" si="37"/>
        <v>18.8</v>
      </c>
      <c r="G274">
        <v>1.27</v>
      </c>
      <c r="H274">
        <f t="shared" si="36"/>
        <v>98.73</v>
      </c>
      <c r="I274">
        <v>470</v>
      </c>
      <c r="J274">
        <v>60</v>
      </c>
    </row>
    <row r="275" spans="6:10" x14ac:dyDescent="0.25">
      <c r="F275">
        <f t="shared" si="37"/>
        <v>19</v>
      </c>
      <c r="G275">
        <v>0.63</v>
      </c>
      <c r="H275">
        <f t="shared" si="36"/>
        <v>99.37</v>
      </c>
      <c r="I275">
        <v>475</v>
      </c>
      <c r="J275">
        <v>61</v>
      </c>
    </row>
    <row r="276" spans="6:10" x14ac:dyDescent="0.25">
      <c r="F276">
        <f t="shared" si="37"/>
        <v>19.2</v>
      </c>
      <c r="G276">
        <v>0.5</v>
      </c>
      <c r="H276">
        <f t="shared" si="36"/>
        <v>99.5</v>
      </c>
      <c r="I276">
        <v>480</v>
      </c>
      <c r="J276">
        <v>62</v>
      </c>
    </row>
    <row r="277" spans="6:10" x14ac:dyDescent="0.25">
      <c r="F277">
        <f t="shared" si="37"/>
        <v>19.400000000000002</v>
      </c>
      <c r="G277">
        <v>0.13</v>
      </c>
      <c r="H277">
        <f t="shared" si="36"/>
        <v>99.87</v>
      </c>
      <c r="I277">
        <v>485</v>
      </c>
      <c r="J277">
        <v>63</v>
      </c>
    </row>
    <row r="278" spans="6:10" x14ac:dyDescent="0.25">
      <c r="F278">
        <f t="shared" si="37"/>
        <v>19.600000000000001</v>
      </c>
      <c r="G278">
        <v>0.17</v>
      </c>
      <c r="H278">
        <f t="shared" si="36"/>
        <v>99.83</v>
      </c>
      <c r="I278">
        <v>490</v>
      </c>
      <c r="J278">
        <v>64</v>
      </c>
    </row>
    <row r="279" spans="6:10" x14ac:dyDescent="0.25">
      <c r="F279">
        <f t="shared" si="37"/>
        <v>19.8</v>
      </c>
      <c r="G279">
        <v>0.03</v>
      </c>
      <c r="H279">
        <f t="shared" ref="H279:H285" si="38">100-G279</f>
        <v>99.97</v>
      </c>
      <c r="I279">
        <v>495</v>
      </c>
      <c r="J279">
        <v>65</v>
      </c>
    </row>
    <row r="280" spans="6:10" x14ac:dyDescent="0.25">
      <c r="F280">
        <f t="shared" si="37"/>
        <v>20</v>
      </c>
      <c r="G280">
        <v>0</v>
      </c>
      <c r="H280">
        <f t="shared" si="38"/>
        <v>100</v>
      </c>
      <c r="I280">
        <v>500</v>
      </c>
      <c r="J280">
        <v>66</v>
      </c>
    </row>
    <row r="281" spans="6:10" x14ac:dyDescent="0.25">
      <c r="F281">
        <f t="shared" si="37"/>
        <v>20.200000000000003</v>
      </c>
      <c r="G281">
        <v>0.03</v>
      </c>
      <c r="H281">
        <f t="shared" si="38"/>
        <v>99.97</v>
      </c>
      <c r="I281">
        <v>505</v>
      </c>
      <c r="J281">
        <v>67</v>
      </c>
    </row>
    <row r="282" spans="6:10" x14ac:dyDescent="0.25">
      <c r="F282">
        <f t="shared" ref="F282:F285" si="39">(I282/$K$213)*100</f>
        <v>20.399999999999999</v>
      </c>
      <c r="G282">
        <v>0</v>
      </c>
      <c r="H282">
        <f t="shared" si="38"/>
        <v>100</v>
      </c>
      <c r="I282">
        <v>510</v>
      </c>
      <c r="J282">
        <v>68</v>
      </c>
    </row>
    <row r="283" spans="6:10" x14ac:dyDescent="0.25">
      <c r="F283">
        <f t="shared" si="39"/>
        <v>20.599999999999998</v>
      </c>
      <c r="G283">
        <v>7.0000000000000007E-2</v>
      </c>
      <c r="H283">
        <f t="shared" si="38"/>
        <v>99.93</v>
      </c>
      <c r="I283">
        <v>515</v>
      </c>
      <c r="J283">
        <v>69</v>
      </c>
    </row>
    <row r="284" spans="6:10" x14ac:dyDescent="0.25">
      <c r="F284">
        <f t="shared" si="39"/>
        <v>20.8</v>
      </c>
      <c r="G284">
        <v>0</v>
      </c>
      <c r="H284">
        <f t="shared" si="38"/>
        <v>100</v>
      </c>
      <c r="I284">
        <v>520</v>
      </c>
      <c r="J284">
        <v>70</v>
      </c>
    </row>
    <row r="285" spans="6:10" x14ac:dyDescent="0.25">
      <c r="F285">
        <f t="shared" si="39"/>
        <v>21</v>
      </c>
      <c r="G285">
        <v>0</v>
      </c>
      <c r="H285">
        <f t="shared" si="38"/>
        <v>100</v>
      </c>
      <c r="I285">
        <v>525</v>
      </c>
      <c r="J285">
        <v>71</v>
      </c>
    </row>
  </sheetData>
  <mergeCells count="1">
    <mergeCell ref="Y1:Y25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Yehezkel</dc:creator>
  <cp:lastModifiedBy>Alon Yehezkel</cp:lastModifiedBy>
  <dcterms:created xsi:type="dcterms:W3CDTF">2025-10-06T21:10:33Z</dcterms:created>
  <dcterms:modified xsi:type="dcterms:W3CDTF">2025-10-24T20:23:06Z</dcterms:modified>
</cp:coreProperties>
</file>